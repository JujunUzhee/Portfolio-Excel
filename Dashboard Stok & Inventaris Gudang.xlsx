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hidePivotFieldList="1" defaultThemeVersion="166925"/>
  <mc:AlternateContent xmlns:mc="http://schemas.openxmlformats.org/markup-compatibility/2006">
    <mc:Choice Requires="x15">
      <x15ac:absPath xmlns:x15ac="http://schemas.microsoft.com/office/spreadsheetml/2010/11/ac" url="E:\Excel\"/>
    </mc:Choice>
  </mc:AlternateContent>
  <xr:revisionPtr revIDLastSave="0" documentId="13_ncr:1_{1F8929DC-C0EA-4E89-A052-A78D851CD3DF}" xr6:coauthVersionLast="47" xr6:coauthVersionMax="47" xr10:uidLastSave="{00000000-0000-0000-0000-000000000000}"/>
  <bookViews>
    <workbookView xWindow="-120" yWindow="-120" windowWidth="21840" windowHeight="13140" firstSheet="1" activeTab="4" xr2:uid="{3C9B8964-671B-44D1-8275-3AA4B87CDC4D}"/>
  </bookViews>
  <sheets>
    <sheet name="Data Barang" sheetId="1" r:id="rId1"/>
    <sheet name="Transaksi Stok" sheetId="2" r:id="rId2"/>
    <sheet name="Rekap Stok" sheetId="3" r:id="rId3"/>
    <sheet name="Detail1" sheetId="6" state="hidden" r:id="rId4"/>
    <sheet name="Pivot Tabel" sheetId="4" r:id="rId5"/>
    <sheet name="Dashboard" sheetId="5" r:id="rId6"/>
  </sheets>
  <definedNames>
    <definedName name="Slicer_Kategori">#N/A</definedName>
    <definedName name="Slicer_Nama_Barang">#N/A</definedName>
    <definedName name="Slicer_Tanggal">#N/A</definedName>
  </definedNames>
  <calcPr calcId="191029"/>
  <pivotCaches>
    <pivotCache cacheId="1" r:id="rId7"/>
    <pivotCache cacheId="22" r:id="rId8"/>
  </pivotCaches>
  <extLs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4" i="2" l="1"/>
  <c r="H5" i="2"/>
  <c r="H6" i="2"/>
  <c r="H7" i="2"/>
  <c r="H8" i="2"/>
  <c r="H9" i="2"/>
  <c r="H10" i="2"/>
  <c r="H11" i="2"/>
  <c r="H12" i="2"/>
  <c r="H13" i="2"/>
  <c r="H14" i="2"/>
  <c r="H15" i="2"/>
  <c r="H16" i="2"/>
  <c r="G4" i="2"/>
  <c r="G5" i="2"/>
  <c r="G6" i="2"/>
  <c r="G7" i="2"/>
  <c r="G8" i="2"/>
  <c r="G9" i="2"/>
  <c r="G10" i="2"/>
  <c r="G11" i="2"/>
  <c r="G12" i="2"/>
  <c r="G13" i="2"/>
  <c r="G14" i="2"/>
  <c r="G15" i="2"/>
  <c r="G16" i="2"/>
  <c r="K7" i="3"/>
  <c r="K8" i="3"/>
  <c r="K9" i="3"/>
  <c r="K10" i="3"/>
  <c r="K11" i="3"/>
  <c r="K12" i="3"/>
  <c r="K13" i="3"/>
  <c r="K6" i="3"/>
  <c r="J7" i="3"/>
  <c r="L7" i="3" s="1"/>
  <c r="M7" i="3" s="1"/>
  <c r="J8" i="3"/>
  <c r="L8" i="3" s="1"/>
  <c r="M8" i="3" s="1"/>
  <c r="J9" i="3"/>
  <c r="L9" i="3" s="1"/>
  <c r="M9" i="3" s="1"/>
  <c r="J10" i="3"/>
  <c r="L10" i="3" s="1"/>
  <c r="M10" i="3" s="1"/>
  <c r="J11" i="3"/>
  <c r="L11" i="3" s="1"/>
  <c r="M11" i="3" s="1"/>
  <c r="J12" i="3"/>
  <c r="L12" i="3" s="1"/>
  <c r="M12" i="3" s="1"/>
  <c r="J13" i="3"/>
  <c r="L13" i="3" s="1"/>
  <c r="M13" i="3" s="1"/>
  <c r="J6" i="3"/>
  <c r="L6" i="3" s="1"/>
  <c r="M6" i="3" s="1"/>
  <c r="I7" i="3"/>
  <c r="I8" i="3"/>
  <c r="I9" i="3"/>
  <c r="I10" i="3"/>
  <c r="I11" i="3"/>
  <c r="I12" i="3"/>
  <c r="I13" i="3"/>
  <c r="I6" i="3"/>
  <c r="H7" i="3"/>
  <c r="H8" i="3"/>
  <c r="H9" i="3"/>
  <c r="H10" i="3"/>
  <c r="H11" i="3"/>
  <c r="H12" i="3"/>
  <c r="H13" i="3"/>
  <c r="H6" i="3"/>
  <c r="G7" i="3"/>
  <c r="G8" i="3"/>
  <c r="G9" i="3"/>
  <c r="G10" i="3"/>
  <c r="G11" i="3"/>
  <c r="G12" i="3"/>
  <c r="G13" i="3"/>
  <c r="G6" i="3"/>
</calcChain>
</file>

<file path=xl/sharedStrings.xml><?xml version="1.0" encoding="utf-8"?>
<sst xmlns="http://schemas.openxmlformats.org/spreadsheetml/2006/main" count="153" uniqueCount="61">
  <si>
    <t>Kode Barang</t>
  </si>
  <si>
    <t>Nama Barang</t>
  </si>
  <si>
    <t>Kategori</t>
  </si>
  <si>
    <t>Satuan</t>
  </si>
  <si>
    <t>Stok Minimum</t>
  </si>
  <si>
    <t>BRG001</t>
  </si>
  <si>
    <t>Pipa PVC 1 Inch</t>
  </si>
  <si>
    <t>Material</t>
  </si>
  <si>
    <t>pcs</t>
  </si>
  <si>
    <t>BRG002</t>
  </si>
  <si>
    <t>Baut M8</t>
  </si>
  <si>
    <t>BRG003</t>
  </si>
  <si>
    <t>Lem PVC</t>
  </si>
  <si>
    <t>Bahan Kimia</t>
  </si>
  <si>
    <t>botol</t>
  </si>
  <si>
    <t>BRG004</t>
  </si>
  <si>
    <t>Sarung Tangan Karet</t>
  </si>
  <si>
    <t>Safety</t>
  </si>
  <si>
    <t>pasang</t>
  </si>
  <si>
    <t>BRG005</t>
  </si>
  <si>
    <t>Klem Pipa 1 inch</t>
  </si>
  <si>
    <t>BRG006</t>
  </si>
  <si>
    <t>Masker Debu</t>
  </si>
  <si>
    <t>box</t>
  </si>
  <si>
    <t>BRG007</t>
  </si>
  <si>
    <t>Oli Mesin</t>
  </si>
  <si>
    <t>liter</t>
  </si>
  <si>
    <t>BRG008</t>
  </si>
  <si>
    <t>Kabel NYA 2.5 mm</t>
  </si>
  <si>
    <t>Elektrikal</t>
  </si>
  <si>
    <t>meter</t>
  </si>
  <si>
    <t>Tanggal</t>
  </si>
  <si>
    <t>Jenis Transaksi</t>
  </si>
  <si>
    <t>Jumlah</t>
  </si>
  <si>
    <t>Keterangan</t>
  </si>
  <si>
    <t>Masuk</t>
  </si>
  <si>
    <t>Pembelian vendor A</t>
  </si>
  <si>
    <t>Keluar</t>
  </si>
  <si>
    <t>Proyek A</t>
  </si>
  <si>
    <t>Restock</t>
  </si>
  <si>
    <t>Proyek B</t>
  </si>
  <si>
    <t>Maintenance</t>
  </si>
  <si>
    <t>Pembelian vendor B</t>
  </si>
  <si>
    <t>Service mesin</t>
  </si>
  <si>
    <t>Proyek C</t>
  </si>
  <si>
    <t>Instalasi listrik</t>
  </si>
  <si>
    <t>Pembelian vendor C</t>
  </si>
  <si>
    <t>Total Masuk</t>
  </si>
  <si>
    <t>Total Keluar</t>
  </si>
  <si>
    <t>Total Akhir</t>
  </si>
  <si>
    <t>Status</t>
  </si>
  <si>
    <t>Warning</t>
  </si>
  <si>
    <t>Row Labels</t>
  </si>
  <si>
    <t>Grand Total</t>
  </si>
  <si>
    <t>Sum of Total Akhir</t>
  </si>
  <si>
    <t>Sum of Jumlah</t>
  </si>
  <si>
    <t>Dashboard Stok &amp; Inventaris Gudang</t>
  </si>
  <si>
    <t>Periode: Januari 2025</t>
  </si>
  <si>
    <t>DATA BARANG GUDANG</t>
  </si>
  <si>
    <t>TRANSAKSI STOK</t>
  </si>
  <si>
    <t>Details for Sum of Jumlah - Nama Barang: Oli Mesin, Jenis Transaksi: Keluar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</si>
</sst>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Calibri"/>
      <family val="2"/>
      <scheme val="minor"/>
    </font>
    <font>
      <b/>
      <sz val="11"/>
      <color theme="0"/>
      <name val="Calibri"/>
      <family val="2"/>
      <scheme val="minor"/>
    </font>
    <font>
      <b/>
      <sz val="11"/>
      <color theme="1"/>
      <name val="Calibri"/>
      <family val="2"/>
      <scheme val="minor"/>
    </font>
    <font>
      <b/>
      <sz val="14"/>
      <color theme="4" tint="-0.499984740745262"/>
      <name val="Calibri"/>
      <family val="2"/>
      <scheme val="minor"/>
    </font>
    <font>
      <b/>
      <sz val="16"/>
      <color theme="4" tint="-0.499984740745262"/>
      <name val="Calibri"/>
      <family val="2"/>
      <scheme val="minor"/>
    </font>
    <font>
      <i/>
      <sz val="11"/>
      <color theme="4" tint="-0.499984740745262"/>
      <name val="Calibri"/>
      <family val="2"/>
      <scheme val="minor"/>
    </font>
    <font>
      <sz val="20"/>
      <color theme="1"/>
      <name val="Calibri"/>
      <family val="2"/>
      <scheme val="minor"/>
    </font>
    <font>
      <b/>
      <sz val="20"/>
      <color theme="4" tint="-0.499984740745262"/>
      <name val="Calibri"/>
      <family val="2"/>
      <scheme val="minor"/>
    </font>
    <font>
      <b/>
      <sz val="20"/>
      <color theme="9" tint="-0.499984740745262"/>
      <name val="Calibri"/>
      <family val="2"/>
      <scheme val="minor"/>
    </font>
    <font>
      <i/>
      <sz val="11"/>
      <color theme="9" tint="-0.499984740745262"/>
      <name val="Calibri"/>
      <family val="2"/>
      <scheme val="minor"/>
    </font>
  </fonts>
  <fills count="6">
    <fill>
      <patternFill patternType="none"/>
    </fill>
    <fill>
      <patternFill patternType="gray125"/>
    </fill>
    <fill>
      <patternFill patternType="solid">
        <fgColor theme="8"/>
        <bgColor theme="8"/>
      </patternFill>
    </fill>
    <fill>
      <patternFill patternType="solid">
        <fgColor theme="8" tint="0.59999389629810485"/>
        <bgColor theme="8" tint="0.59999389629810485"/>
      </patternFill>
    </fill>
    <fill>
      <patternFill patternType="solid">
        <fgColor theme="8" tint="0.79998168889431442"/>
        <bgColor theme="8" tint="0.79998168889431442"/>
      </patternFill>
    </fill>
    <fill>
      <patternFill patternType="solid">
        <fgColor theme="4" tint="0.79998168889431442"/>
        <bgColor indexed="64"/>
      </patternFill>
    </fill>
  </fills>
  <borders count="4">
    <border>
      <left/>
      <right/>
      <top/>
      <bottom/>
      <diagonal/>
    </border>
    <border>
      <left style="thin">
        <color indexed="64"/>
      </left>
      <right/>
      <top style="thin">
        <color indexed="64"/>
      </top>
      <bottom/>
      <diagonal/>
    </border>
    <border>
      <left/>
      <right/>
      <top style="thin">
        <color indexed="64"/>
      </top>
      <bottom/>
      <diagonal/>
    </border>
    <border>
      <left style="thin">
        <color indexed="64"/>
      </left>
      <right/>
      <top/>
      <bottom/>
      <diagonal/>
    </border>
  </borders>
  <cellStyleXfs count="1">
    <xf numFmtId="0" fontId="0" fillId="0" borderId="0"/>
  </cellStyleXfs>
  <cellXfs count="27">
    <xf numFmtId="0" fontId="0" fillId="0" borderId="0" xfId="0"/>
    <xf numFmtId="0" fontId="0" fillId="0" borderId="0" xfId="0" applyAlignment="1">
      <alignment horizontal="center" vertical="center" wrapText="1"/>
    </xf>
    <xf numFmtId="0" fontId="2" fillId="0" borderId="0" xfId="0" applyFont="1" applyAlignment="1">
      <alignment horizontal="center" vertical="center" wrapText="1"/>
    </xf>
    <xf numFmtId="14" fontId="0" fillId="0" borderId="0" xfId="0" applyNumberFormat="1" applyAlignment="1">
      <alignment horizontal="center" vertical="center" wrapText="1"/>
    </xf>
    <xf numFmtId="0" fontId="0" fillId="3" borderId="1" xfId="0" applyFill="1" applyBorder="1" applyAlignment="1">
      <alignment horizontal="center" vertical="center" wrapText="1"/>
    </xf>
    <xf numFmtId="1" fontId="0" fillId="3" borderId="1" xfId="0" applyNumberFormat="1" applyFill="1" applyBorder="1" applyAlignment="1">
      <alignment horizontal="center" vertical="center" wrapText="1"/>
    </xf>
    <xf numFmtId="0" fontId="0" fillId="4" borderId="1" xfId="0" applyFill="1" applyBorder="1" applyAlignment="1">
      <alignment horizontal="center" vertical="center" wrapText="1"/>
    </xf>
    <xf numFmtId="1" fontId="0" fillId="4" borderId="1" xfId="0" applyNumberFormat="1" applyFill="1" applyBorder="1" applyAlignment="1">
      <alignment horizontal="center" vertical="center" wrapText="1"/>
    </xf>
    <xf numFmtId="0" fontId="0" fillId="3" borderId="2" xfId="0" applyFill="1" applyBorder="1" applyAlignment="1">
      <alignment horizontal="center" vertical="center" wrapText="1"/>
    </xf>
    <xf numFmtId="0" fontId="0" fillId="4" borderId="2" xfId="0" applyFill="1" applyBorder="1" applyAlignment="1">
      <alignment horizontal="center" vertical="center" wrapText="1"/>
    </xf>
    <xf numFmtId="0" fontId="1" fillId="2" borderId="0" xfId="0" applyFont="1" applyFill="1" applyAlignment="1">
      <alignment horizontal="center" vertical="center" wrapText="1"/>
    </xf>
    <xf numFmtId="0" fontId="1" fillId="2" borderId="3" xfId="0" applyFont="1" applyFill="1" applyBorder="1" applyAlignment="1">
      <alignment horizontal="center" vertical="center" wrapText="1"/>
    </xf>
    <xf numFmtId="0" fontId="0" fillId="0" borderId="0" xfId="0" pivotButton="1"/>
    <xf numFmtId="0" fontId="0" fillId="0" borderId="0" xfId="0" applyAlignment="1">
      <alignment horizontal="left"/>
    </xf>
    <xf numFmtId="1" fontId="0" fillId="0" borderId="0" xfId="0" applyNumberFormat="1"/>
    <xf numFmtId="0" fontId="5" fillId="0" borderId="0" xfId="0" applyFont="1"/>
    <xf numFmtId="0" fontId="4" fillId="0" borderId="0" xfId="0" applyFont="1" applyAlignment="1">
      <alignment horizontal="center" vertical="center"/>
    </xf>
    <xf numFmtId="0" fontId="6" fillId="0" borderId="0" xfId="0" applyFont="1"/>
    <xf numFmtId="0" fontId="7" fillId="0" borderId="0" xfId="0" applyFont="1" applyAlignment="1">
      <alignment horizontal="center" vertical="center"/>
    </xf>
    <xf numFmtId="0" fontId="8" fillId="0" borderId="0" xfId="0" applyFont="1" applyAlignment="1">
      <alignment horizontal="center" vertical="center"/>
    </xf>
    <xf numFmtId="0" fontId="3" fillId="5" borderId="0" xfId="0" applyFont="1" applyFill="1" applyAlignment="1">
      <alignment horizontal="center"/>
    </xf>
    <xf numFmtId="0" fontId="4" fillId="5" borderId="0" xfId="0" applyFont="1" applyFill="1" applyAlignment="1">
      <alignment horizontal="center"/>
    </xf>
    <xf numFmtId="0" fontId="0" fillId="5" borderId="0" xfId="0" applyFill="1" applyAlignment="1">
      <alignment horizontal="center"/>
    </xf>
    <xf numFmtId="0" fontId="9" fillId="0" borderId="0" xfId="0" applyFont="1" applyAlignment="1">
      <alignment horizontal="left"/>
    </xf>
    <xf numFmtId="0" fontId="0" fillId="0" borderId="0" xfId="0" applyNumberFormat="1"/>
    <xf numFmtId="14" fontId="0" fillId="0" borderId="0" xfId="0" applyNumberFormat="1"/>
    <xf numFmtId="0" fontId="2" fillId="0" borderId="0" xfId="0" applyFont="1"/>
  </cellXfs>
  <cellStyles count="1">
    <cellStyle name="Normal" xfId="0" builtinId="0"/>
  </cellStyles>
  <dxfs count="31">
    <dxf>
      <numFmt numFmtId="19" formatCode="dd/mm/yyyy"/>
    </dxf>
    <dxf>
      <font>
        <color rgb="FF9C0006"/>
      </font>
      <fill>
        <patternFill>
          <bgColor rgb="FFFFC7CE"/>
        </patternFill>
      </fill>
    </dxf>
    <dxf>
      <font>
        <color rgb="FF006100"/>
      </font>
      <fill>
        <patternFill>
          <bgColor rgb="FFC6EFCE"/>
        </patternFill>
      </fill>
    </dxf>
    <dxf>
      <fill>
        <patternFill>
          <bgColor rgb="FFFF5050"/>
        </patternFill>
      </fill>
    </dxf>
    <dxf>
      <font>
        <b val="0"/>
        <i val="0"/>
        <strike val="0"/>
        <condense val="0"/>
        <extend val="0"/>
        <outline val="0"/>
        <shadow val="0"/>
        <u val="none"/>
        <vertAlign val="baseline"/>
        <sz val="11"/>
        <color theme="1"/>
        <name val="Calibri"/>
        <family val="2"/>
        <scheme val="minor"/>
      </font>
      <fill>
        <patternFill patternType="solid">
          <fgColor theme="8" tint="0.79998168889431442"/>
          <bgColor theme="8" tint="0.79998168889431442"/>
        </patternFill>
      </fill>
      <alignment horizontal="center" vertical="center" textRotation="0" wrapText="1" indent="0" justifyLastLine="0" shrinkToFit="0" readingOrder="0"/>
      <border diagonalUp="0" diagonalDown="0">
        <left style="thin">
          <color indexed="64"/>
        </left>
        <right/>
        <top style="thin">
          <color indexed="64"/>
        </top>
        <bottom/>
        <vertical/>
        <horizontal/>
      </border>
    </dxf>
    <dxf>
      <font>
        <b val="0"/>
        <i val="0"/>
        <strike val="0"/>
        <condense val="0"/>
        <extend val="0"/>
        <outline val="0"/>
        <shadow val="0"/>
        <u val="none"/>
        <vertAlign val="baseline"/>
        <sz val="11"/>
        <color theme="1"/>
        <name val="Calibri"/>
        <family val="2"/>
        <scheme val="minor"/>
      </font>
      <numFmt numFmtId="1" formatCode="0"/>
      <fill>
        <patternFill patternType="solid">
          <fgColor theme="8" tint="0.79998168889431442"/>
          <bgColor theme="8" tint="0.79998168889431442"/>
        </patternFill>
      </fill>
      <alignment horizontal="center" vertical="center" textRotation="0" wrapText="1" indent="0" justifyLastLine="0" shrinkToFit="0" readingOrder="0"/>
      <border diagonalUp="0" diagonalDown="0">
        <left style="thin">
          <color indexed="64"/>
        </left>
        <right/>
        <top style="thin">
          <color indexed="64"/>
        </top>
        <bottom/>
        <vertical/>
        <horizontal/>
      </border>
    </dxf>
    <dxf>
      <font>
        <b val="0"/>
        <i val="0"/>
        <strike val="0"/>
        <condense val="0"/>
        <extend val="0"/>
        <outline val="0"/>
        <shadow val="0"/>
        <u val="none"/>
        <vertAlign val="baseline"/>
        <sz val="11"/>
        <color theme="1"/>
        <name val="Calibri"/>
        <family val="2"/>
        <scheme val="minor"/>
      </font>
      <fill>
        <patternFill patternType="solid">
          <fgColor theme="8" tint="0.79998168889431442"/>
          <bgColor theme="8" tint="0.79998168889431442"/>
        </patternFill>
      </fill>
      <alignment horizontal="center" vertical="center" textRotation="0" wrapText="1" indent="0" justifyLastLine="0" shrinkToFit="0" readingOrder="0"/>
      <border diagonalUp="0" diagonalDown="0">
        <left style="thin">
          <color indexed="64"/>
        </left>
        <right/>
        <top style="thin">
          <color indexed="64"/>
        </top>
        <bottom/>
        <vertical/>
        <horizontal/>
      </border>
    </dxf>
    <dxf>
      <font>
        <b val="0"/>
        <i val="0"/>
        <strike val="0"/>
        <condense val="0"/>
        <extend val="0"/>
        <outline val="0"/>
        <shadow val="0"/>
        <u val="none"/>
        <vertAlign val="baseline"/>
        <sz val="11"/>
        <color theme="1"/>
        <name val="Calibri"/>
        <family val="2"/>
        <scheme val="minor"/>
      </font>
      <fill>
        <patternFill patternType="solid">
          <fgColor theme="8" tint="0.79998168889431442"/>
          <bgColor theme="8" tint="0.79998168889431442"/>
        </patternFill>
      </fill>
      <alignment horizontal="center" vertical="center" textRotation="0" wrapText="1" indent="0" justifyLastLine="0" shrinkToFit="0" readingOrder="0"/>
      <border diagonalUp="0" diagonalDown="0">
        <left style="thin">
          <color indexed="64"/>
        </left>
        <right/>
        <top style="thin">
          <color indexed="64"/>
        </top>
        <bottom/>
        <vertical/>
        <horizontal/>
      </border>
    </dxf>
    <dxf>
      <font>
        <b val="0"/>
        <i val="0"/>
        <strike val="0"/>
        <condense val="0"/>
        <extend val="0"/>
        <outline val="0"/>
        <shadow val="0"/>
        <u val="none"/>
        <vertAlign val="baseline"/>
        <sz val="11"/>
        <color theme="1"/>
        <name val="Calibri"/>
        <family val="2"/>
        <scheme val="minor"/>
      </font>
      <fill>
        <patternFill patternType="solid">
          <fgColor theme="8" tint="0.79998168889431442"/>
          <bgColor theme="8" tint="0.79998168889431442"/>
        </patternFill>
      </fill>
      <alignment horizontal="center" vertical="center" textRotation="0" wrapText="1" indent="0" justifyLastLine="0" shrinkToFit="0" readingOrder="0"/>
      <border diagonalUp="0" diagonalDown="0">
        <left style="thin">
          <color indexed="64"/>
        </left>
        <right/>
        <top style="thin">
          <color indexed="64"/>
        </top>
        <bottom/>
        <vertical/>
        <horizontal/>
      </border>
    </dxf>
    <dxf>
      <font>
        <b val="0"/>
        <i val="0"/>
        <strike val="0"/>
        <condense val="0"/>
        <extend val="0"/>
        <outline val="0"/>
        <shadow val="0"/>
        <u val="none"/>
        <vertAlign val="baseline"/>
        <sz val="11"/>
        <color theme="1"/>
        <name val="Calibri"/>
        <family val="2"/>
        <scheme val="minor"/>
      </font>
      <fill>
        <patternFill patternType="solid">
          <fgColor theme="8" tint="0.79998168889431442"/>
          <bgColor theme="8" tint="0.79998168889431442"/>
        </patternFill>
      </fill>
      <alignment horizontal="center" vertical="center" textRotation="0" wrapText="1" indent="0" justifyLastLine="0" shrinkToFit="0" readingOrder="0"/>
      <border diagonalUp="0" diagonalDown="0">
        <left style="thin">
          <color indexed="64"/>
        </left>
        <right/>
        <top style="thin">
          <color indexed="64"/>
        </top>
        <bottom/>
        <vertical/>
        <horizontal/>
      </border>
    </dxf>
    <dxf>
      <font>
        <b val="0"/>
        <i val="0"/>
        <strike val="0"/>
        <condense val="0"/>
        <extend val="0"/>
        <outline val="0"/>
        <shadow val="0"/>
        <u val="none"/>
        <vertAlign val="baseline"/>
        <sz val="11"/>
        <color theme="1"/>
        <name val="Calibri"/>
        <family val="2"/>
        <scheme val="minor"/>
      </font>
      <fill>
        <patternFill patternType="solid">
          <fgColor theme="8" tint="0.79998168889431442"/>
          <bgColor theme="8" tint="0.79998168889431442"/>
        </patternFill>
      </fill>
      <alignment horizontal="center" vertical="center" textRotation="0" wrapText="1" indent="0" justifyLastLine="0" shrinkToFit="0" readingOrder="0"/>
      <border diagonalUp="0" diagonalDown="0">
        <left style="thin">
          <color indexed="64"/>
        </left>
        <right/>
        <top style="thin">
          <color indexed="64"/>
        </top>
        <bottom/>
        <vertical/>
        <horizontal/>
      </border>
    </dxf>
    <dxf>
      <font>
        <b val="0"/>
        <i val="0"/>
        <strike val="0"/>
        <condense val="0"/>
        <extend val="0"/>
        <outline val="0"/>
        <shadow val="0"/>
        <u val="none"/>
        <vertAlign val="baseline"/>
        <sz val="11"/>
        <color theme="1"/>
        <name val="Calibri"/>
        <family val="2"/>
        <scheme val="minor"/>
      </font>
      <fill>
        <patternFill patternType="solid">
          <fgColor theme="8" tint="0.79998168889431442"/>
          <bgColor theme="8" tint="0.79998168889431442"/>
        </patternFill>
      </fill>
      <alignment horizontal="center" vertical="center" textRotation="0" wrapText="1" indent="0" justifyLastLine="0" shrinkToFit="0" readingOrder="0"/>
      <border diagonalUp="0" diagonalDown="0">
        <left/>
        <right/>
        <top style="thin">
          <color indexed="64"/>
        </top>
        <bottom/>
        <vertical/>
        <horizontal/>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family val="2"/>
        <scheme val="minor"/>
      </font>
      <fill>
        <patternFill patternType="solid">
          <fgColor theme="8" tint="0.79998168889431442"/>
          <bgColor theme="8" tint="0.79998168889431442"/>
        </patternFill>
      </fill>
      <alignment horizontal="center" vertical="center" textRotation="0" wrapText="1"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theme="8"/>
          <bgColor theme="8"/>
        </patternFill>
      </fill>
      <alignment horizontal="center" vertical="center" textRotation="0" wrapText="1" indent="0" justifyLastLine="0" shrinkToFit="0" readingOrder="0"/>
      <border diagonalUp="0" diagonalDown="0" outline="0">
        <left style="thin">
          <color indexed="64"/>
        </left>
        <right style="thin">
          <color indexed="64"/>
        </right>
        <top/>
        <bottom/>
      </border>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numFmt numFmtId="0" formatCode="General"/>
      <alignment horizontal="center" vertical="center" textRotation="0" wrapText="1" indent="0" justifyLastLine="0" shrinkToFit="0" readingOrder="0"/>
    </dxf>
    <dxf>
      <numFmt numFmtId="0" formatCode="General"/>
      <alignment horizontal="center" vertical="center" textRotation="0" wrapText="1" indent="0" justifyLastLine="0" shrinkToFit="0" readingOrder="0"/>
    </dxf>
    <dxf>
      <alignment horizontal="center" vertical="center" textRotation="0" wrapText="1" indent="0" justifyLastLine="0" shrinkToFit="0" readingOrder="0"/>
    </dxf>
    <dxf>
      <numFmt numFmtId="19" formatCode="dd/mm/yyyy"/>
      <alignment horizontal="center" vertical="center" textRotation="0" wrapText="1" indent="0" justifyLastLine="0" shrinkToFit="0" readingOrder="0"/>
    </dxf>
    <dxf>
      <alignment horizontal="center" vertical="center" textRotation="0" wrapText="1" indent="0" justifyLastLine="0" shrinkToFit="0" readingOrder="0"/>
    </dxf>
    <dxf>
      <font>
        <b/>
        <i val="0"/>
        <strike val="0"/>
        <condense val="0"/>
        <extend val="0"/>
        <outline val="0"/>
        <shadow val="0"/>
        <u val="none"/>
        <vertAlign val="baseline"/>
        <sz val="11"/>
        <color theme="1"/>
        <name val="Calibri"/>
        <family val="2"/>
        <scheme val="minor"/>
      </font>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font>
        <b/>
        <i val="0"/>
        <strike val="0"/>
        <condense val="0"/>
        <extend val="0"/>
        <outline val="0"/>
        <shadow val="0"/>
        <u val="none"/>
        <vertAlign val="baseline"/>
        <sz val="11"/>
        <color theme="1"/>
        <name val="Calibri"/>
        <family val="2"/>
        <scheme val="minor"/>
      </font>
      <alignment horizontal="center" vertical="center" textRotation="0" wrapText="1" indent="0" justifyLastLine="0" shrinkToFit="0" readingOrder="0"/>
    </dxf>
  </dxfs>
  <tableStyles count="0" defaultTableStyle="TableStyleMedium2" defaultPivotStyle="PivotStyleLight16"/>
  <colors>
    <mruColors>
      <color rgb="FFFF505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[Dashboard Stok &amp; Inventaris Gudang.xlsx]Pivot Tabel!PivotTable8</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KATEGORI STOK</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spPr>
          <a:solidFill>
            <a:schemeClr val="accent6"/>
          </a:solidFill>
          <a:ln w="19050">
            <a:solidFill>
              <a:schemeClr val="lt1"/>
            </a:solidFill>
          </a:ln>
          <a:effectLst/>
        </c:spPr>
        <c:marker>
          <c:symbol val="circle"/>
          <c:size val="5"/>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6">
              <a:tint val="58000"/>
            </a:schemeClr>
          </a:solidFill>
          <a:ln w="19050">
            <a:solidFill>
              <a:schemeClr val="lt1"/>
            </a:solidFill>
          </a:ln>
          <a:effectLst/>
        </c:spPr>
      </c:pivotFmt>
      <c:pivotFmt>
        <c:idx val="8"/>
        <c:spPr>
          <a:solidFill>
            <a:schemeClr val="accent6">
              <a:tint val="86000"/>
            </a:schemeClr>
          </a:solidFill>
          <a:ln w="19050">
            <a:solidFill>
              <a:schemeClr val="lt1"/>
            </a:solidFill>
          </a:ln>
          <a:effectLst/>
        </c:spPr>
      </c:pivotFmt>
      <c:pivotFmt>
        <c:idx val="9"/>
        <c:spPr>
          <a:solidFill>
            <a:schemeClr val="accent6">
              <a:shade val="86000"/>
            </a:schemeClr>
          </a:solidFill>
          <a:ln w="19050">
            <a:solidFill>
              <a:schemeClr val="lt1"/>
            </a:solidFill>
          </a:ln>
          <a:effectLst/>
        </c:spPr>
      </c:pivotFmt>
      <c:pivotFmt>
        <c:idx val="10"/>
        <c:spPr>
          <a:solidFill>
            <a:schemeClr val="accent6">
              <a:shade val="58000"/>
            </a:schemeClr>
          </a:solidFill>
          <a:ln w="19050">
            <a:solidFill>
              <a:schemeClr val="lt1"/>
            </a:solidFill>
          </a:ln>
          <a:effectLst/>
        </c:spPr>
      </c:pivotFmt>
    </c:pivotFmts>
    <c:plotArea>
      <c:layout/>
      <c:pieChart>
        <c:varyColors val="1"/>
        <c:ser>
          <c:idx val="0"/>
          <c:order val="0"/>
          <c:tx>
            <c:strRef>
              <c:f>'Pivot Tabel'!$I$4</c:f>
              <c:strCache>
                <c:ptCount val="1"/>
                <c:pt idx="0">
                  <c:v>Total</c:v>
                </c:pt>
              </c:strCache>
            </c:strRef>
          </c:tx>
          <c:dPt>
            <c:idx val="0"/>
            <c:bubble3D val="0"/>
            <c:spPr>
              <a:solidFill>
                <a:schemeClr val="accent6">
                  <a:tint val="58000"/>
                </a:schemeClr>
              </a:solidFill>
              <a:ln w="19050">
                <a:solidFill>
                  <a:schemeClr val="lt1"/>
                </a:solidFill>
              </a:ln>
              <a:effectLst/>
            </c:spPr>
            <c:extLst>
              <c:ext xmlns:c16="http://schemas.microsoft.com/office/drawing/2014/chart" uri="{C3380CC4-5D6E-409C-BE32-E72D297353CC}">
                <c16:uniqueId val="{00000001-59C3-4B9F-A2B4-396A23CD02A5}"/>
              </c:ext>
            </c:extLst>
          </c:dPt>
          <c:dPt>
            <c:idx val="1"/>
            <c:bubble3D val="0"/>
            <c:spPr>
              <a:solidFill>
                <a:schemeClr val="accent6">
                  <a:tint val="86000"/>
                </a:schemeClr>
              </a:solidFill>
              <a:ln w="19050">
                <a:solidFill>
                  <a:schemeClr val="lt1"/>
                </a:solidFill>
              </a:ln>
              <a:effectLst/>
            </c:spPr>
            <c:extLst>
              <c:ext xmlns:c16="http://schemas.microsoft.com/office/drawing/2014/chart" uri="{C3380CC4-5D6E-409C-BE32-E72D297353CC}">
                <c16:uniqueId val="{00000003-59C3-4B9F-A2B4-396A23CD02A5}"/>
              </c:ext>
            </c:extLst>
          </c:dPt>
          <c:dPt>
            <c:idx val="2"/>
            <c:bubble3D val="0"/>
            <c:spPr>
              <a:solidFill>
                <a:schemeClr val="accent6">
                  <a:shade val="86000"/>
                </a:schemeClr>
              </a:solidFill>
              <a:ln w="19050">
                <a:solidFill>
                  <a:schemeClr val="lt1"/>
                </a:solidFill>
              </a:ln>
              <a:effectLst/>
            </c:spPr>
            <c:extLst>
              <c:ext xmlns:c16="http://schemas.microsoft.com/office/drawing/2014/chart" uri="{C3380CC4-5D6E-409C-BE32-E72D297353CC}">
                <c16:uniqueId val="{00000005-59C3-4B9F-A2B4-396A23CD02A5}"/>
              </c:ext>
            </c:extLst>
          </c:dPt>
          <c:dPt>
            <c:idx val="3"/>
            <c:bubble3D val="0"/>
            <c:spPr>
              <a:solidFill>
                <a:schemeClr val="accent6">
                  <a:shade val="58000"/>
                </a:schemeClr>
              </a:solidFill>
              <a:ln w="19050">
                <a:solidFill>
                  <a:schemeClr val="lt1"/>
                </a:solidFill>
              </a:ln>
              <a:effectLst/>
            </c:spPr>
            <c:extLst>
              <c:ext xmlns:c16="http://schemas.microsoft.com/office/drawing/2014/chart" uri="{C3380CC4-5D6E-409C-BE32-E72D297353CC}">
                <c16:uniqueId val="{00000007-59C3-4B9F-A2B4-396A23CD02A5}"/>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Tabel'!$H$5:$H$9</c:f>
              <c:strCache>
                <c:ptCount val="4"/>
                <c:pt idx="0">
                  <c:v>Bahan Kimia</c:v>
                </c:pt>
                <c:pt idx="1">
                  <c:v>Elektrikal</c:v>
                </c:pt>
                <c:pt idx="2">
                  <c:v>Material</c:v>
                </c:pt>
                <c:pt idx="3">
                  <c:v>Safety</c:v>
                </c:pt>
              </c:strCache>
            </c:strRef>
          </c:cat>
          <c:val>
            <c:numRef>
              <c:f>'Pivot Tabel'!$I$5:$I$9</c:f>
              <c:numCache>
                <c:formatCode>0</c:formatCode>
                <c:ptCount val="4"/>
                <c:pt idx="0">
                  <c:v>18</c:v>
                </c:pt>
                <c:pt idx="1">
                  <c:v>60</c:v>
                </c:pt>
                <c:pt idx="2">
                  <c:v>95</c:v>
                </c:pt>
                <c:pt idx="3">
                  <c:v>35</c:v>
                </c:pt>
              </c:numCache>
            </c:numRef>
          </c:val>
          <c:extLst>
            <c:ext xmlns:c16="http://schemas.microsoft.com/office/drawing/2014/chart" uri="{C3380CC4-5D6E-409C-BE32-E72D297353CC}">
              <c16:uniqueId val="{00000008-59C3-4B9F-A2B4-396A23CD02A5}"/>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[Dashboard Stok &amp; Inventaris Gudang.xlsx]Pivot Tabel!PivotTable7</c:name>
    <c:fmtId val="2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D"/>
              <a:t>GRAFIK KELUAR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D"/>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 Tabel'!$F$4</c:f>
              <c:strCache>
                <c:ptCount val="1"/>
                <c:pt idx="0">
                  <c:v>Total</c:v>
                </c:pt>
              </c:strCache>
            </c:strRef>
          </c:tx>
          <c:spPr>
            <a:solidFill>
              <a:schemeClr val="accent6"/>
            </a:solidFill>
            <a:ln>
              <a:noFill/>
            </a:ln>
            <a:effectLst/>
          </c:spPr>
          <c:invertIfNegative val="0"/>
          <c:cat>
            <c:strRef>
              <c:f>'Pivot Tabel'!$E$5:$E$12</c:f>
              <c:strCache>
                <c:ptCount val="7"/>
                <c:pt idx="0">
                  <c:v>Baut M8</c:v>
                </c:pt>
                <c:pt idx="1">
                  <c:v>Kabel NYA 2.5 mm</c:v>
                </c:pt>
                <c:pt idx="2">
                  <c:v>Klem Pipa 1 inch</c:v>
                </c:pt>
                <c:pt idx="3">
                  <c:v>Lem PVC</c:v>
                </c:pt>
                <c:pt idx="4">
                  <c:v>Oli Mesin</c:v>
                </c:pt>
                <c:pt idx="5">
                  <c:v>Pipa PVC 1 Inch</c:v>
                </c:pt>
                <c:pt idx="6">
                  <c:v>Sarung Tangan Karet</c:v>
                </c:pt>
              </c:strCache>
            </c:strRef>
          </c:cat>
          <c:val>
            <c:numRef>
              <c:f>'Pivot Tabel'!$F$5:$F$12</c:f>
              <c:numCache>
                <c:formatCode>General</c:formatCode>
                <c:ptCount val="7"/>
                <c:pt idx="0">
                  <c:v>40</c:v>
                </c:pt>
                <c:pt idx="1">
                  <c:v>40</c:v>
                </c:pt>
                <c:pt idx="2">
                  <c:v>15</c:v>
                </c:pt>
                <c:pt idx="3">
                  <c:v>12</c:v>
                </c:pt>
                <c:pt idx="4">
                  <c:v>3</c:v>
                </c:pt>
                <c:pt idx="5">
                  <c:v>50</c:v>
                </c:pt>
                <c:pt idx="6">
                  <c:v>10</c:v>
                </c:pt>
              </c:numCache>
            </c:numRef>
          </c:val>
          <c:extLst>
            <c:ext xmlns:c16="http://schemas.microsoft.com/office/drawing/2014/chart" uri="{C3380CC4-5D6E-409C-BE32-E72D297353CC}">
              <c16:uniqueId val="{00000002-DDF8-4FB3-A9DC-4ECACFFDB924}"/>
            </c:ext>
          </c:extLst>
        </c:ser>
        <c:dLbls>
          <c:showLegendKey val="0"/>
          <c:showVal val="0"/>
          <c:showCatName val="0"/>
          <c:showSerName val="0"/>
          <c:showPercent val="0"/>
          <c:showBubbleSize val="0"/>
        </c:dLbls>
        <c:gapWidth val="150"/>
        <c:overlap val="100"/>
        <c:axId val="104071568"/>
        <c:axId val="104073008"/>
      </c:barChart>
      <c:catAx>
        <c:axId val="1040715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prstDash val="solid"/>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073008"/>
        <c:crosses val="autoZero"/>
        <c:auto val="1"/>
        <c:lblAlgn val="ctr"/>
        <c:lblOffset val="100"/>
        <c:noMultiLvlLbl val="0"/>
      </c:catAx>
      <c:valAx>
        <c:axId val="104073008"/>
        <c:scaling>
          <c:orientation val="minMax"/>
        </c:scaling>
        <c:delete val="0"/>
        <c:axPos val="l"/>
        <c:majorGridlines>
          <c:spPr>
            <a:ln w="9525" cap="flat" cmpd="sng" algn="ctr">
              <a:solidFill>
                <a:schemeClr val="tx1">
                  <a:lumMod val="15000"/>
                  <a:lumOff val="85000"/>
                </a:schemeClr>
              </a:solidFill>
              <a:prstDash val="solid"/>
              <a:round/>
            </a:ln>
            <a:effectLst/>
          </c:spPr>
        </c:majorGridlines>
        <c:numFmt formatCode="General" sourceLinked="1"/>
        <c:majorTickMark val="none"/>
        <c:minorTickMark val="none"/>
        <c:tickLblPos val="nextTo"/>
        <c:spPr>
          <a:noFill/>
          <a:ln w="6350" cap="flat" cmpd="sng" algn="ctr">
            <a:noFill/>
            <a:prstDash val="solid"/>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071568"/>
        <c:crosses val="autoZero"/>
        <c:crossBetween val="between"/>
      </c:valAx>
      <c:spPr>
        <a:solidFill>
          <a:schemeClr val="bg1"/>
        </a:solid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spPr>
    <a:solidFill>
      <a:schemeClr val="bg1"/>
    </a:solidFill>
    <a:ln w="6350" cap="flat" cmpd="sng" algn="ctr">
      <a:solidFill>
        <a:schemeClr val="tx1">
          <a:tint val="75000"/>
        </a:schemeClr>
      </a:solidFill>
      <a:prstDash val="solid"/>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[Dashboard Stok &amp; Inventaris Gudang.xlsx]Pivot Tabel!PivotTable6</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D"/>
              <a:t>GRAFIK MASUK</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D"/>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 Tabel'!$C$4</c:f>
              <c:strCache>
                <c:ptCount val="1"/>
                <c:pt idx="0">
                  <c:v>Total</c:v>
                </c:pt>
              </c:strCache>
            </c:strRef>
          </c:tx>
          <c:spPr>
            <a:solidFill>
              <a:schemeClr val="accent6"/>
            </a:solidFill>
            <a:ln>
              <a:noFill/>
            </a:ln>
            <a:effectLst/>
          </c:spPr>
          <c:invertIfNegative val="0"/>
          <c:cat>
            <c:strRef>
              <c:f>'Pivot Tabel'!$B$5:$B$11</c:f>
              <c:strCache>
                <c:ptCount val="6"/>
                <c:pt idx="0">
                  <c:v>Kabel NYA 2.5 mm</c:v>
                </c:pt>
                <c:pt idx="1">
                  <c:v>Klem Pipa 1 inch</c:v>
                </c:pt>
                <c:pt idx="2">
                  <c:v>Lem PVC</c:v>
                </c:pt>
                <c:pt idx="3">
                  <c:v>Masker Debu</c:v>
                </c:pt>
                <c:pt idx="4">
                  <c:v>Pipa PVC 1 Inch</c:v>
                </c:pt>
                <c:pt idx="5">
                  <c:v>Sarung Tangan Karet</c:v>
                </c:pt>
              </c:strCache>
            </c:strRef>
          </c:cat>
          <c:val>
            <c:numRef>
              <c:f>'Pivot Tabel'!$C$5:$C$11</c:f>
              <c:numCache>
                <c:formatCode>General</c:formatCode>
                <c:ptCount val="6"/>
                <c:pt idx="0">
                  <c:v>100</c:v>
                </c:pt>
                <c:pt idx="1">
                  <c:v>60</c:v>
                </c:pt>
                <c:pt idx="2">
                  <c:v>30</c:v>
                </c:pt>
                <c:pt idx="3">
                  <c:v>20</c:v>
                </c:pt>
                <c:pt idx="4">
                  <c:v>100</c:v>
                </c:pt>
                <c:pt idx="5">
                  <c:v>25</c:v>
                </c:pt>
              </c:numCache>
            </c:numRef>
          </c:val>
          <c:extLst>
            <c:ext xmlns:c16="http://schemas.microsoft.com/office/drawing/2014/chart" uri="{C3380CC4-5D6E-409C-BE32-E72D297353CC}">
              <c16:uniqueId val="{00000000-E384-4CA5-A15B-ADD9A632F6EF}"/>
            </c:ext>
          </c:extLst>
        </c:ser>
        <c:dLbls>
          <c:showLegendKey val="0"/>
          <c:showVal val="0"/>
          <c:showCatName val="0"/>
          <c:showSerName val="0"/>
          <c:showPercent val="0"/>
          <c:showBubbleSize val="0"/>
        </c:dLbls>
        <c:gapWidth val="150"/>
        <c:overlap val="100"/>
        <c:axId val="104071568"/>
        <c:axId val="104073008"/>
      </c:barChart>
      <c:catAx>
        <c:axId val="1040715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073008"/>
        <c:crosses val="autoZero"/>
        <c:auto val="1"/>
        <c:lblAlgn val="ctr"/>
        <c:lblOffset val="100"/>
        <c:noMultiLvlLbl val="0"/>
      </c:catAx>
      <c:valAx>
        <c:axId val="1040730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0715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Reversed" id="26">
  <a:schemeClr val="accent6"/>
</cs:colorStyle>
</file>

<file path=xl/charts/colors2.xml><?xml version="1.0" encoding="utf-8"?>
<cs:colorStyle xmlns:cs="http://schemas.microsoft.com/office/drawing/2012/chartStyle" xmlns:a="http://schemas.openxmlformats.org/drawingml/2006/main" meth="withinLinearReversed" id="26">
  <a:schemeClr val="accent6"/>
</cs:colorStyle>
</file>

<file path=xl/charts/colors3.xml><?xml version="1.0" encoding="utf-8"?>
<cs:colorStyle xmlns:cs="http://schemas.microsoft.com/office/drawing/2012/chartStyle" xmlns:a="http://schemas.openxmlformats.org/drawingml/2006/main" meth="withinLinearReversed" id="26">
  <a:schemeClr val="accent6"/>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102">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6</xdr:col>
      <xdr:colOff>510267</xdr:colOff>
      <xdr:row>5</xdr:row>
      <xdr:rowOff>4082</xdr:rowOff>
    </xdr:from>
    <xdr:to>
      <xdr:col>9</xdr:col>
      <xdr:colOff>269421</xdr:colOff>
      <xdr:row>11</xdr:row>
      <xdr:rowOff>4082</xdr:rowOff>
    </xdr:to>
    <xdr:sp macro="" textlink="">
      <xdr:nvSpPr>
        <xdr:cNvPr id="2" name="Rectangle: Rounded Corners 1">
          <a:extLst>
            <a:ext uri="{FF2B5EF4-FFF2-40B4-BE49-F238E27FC236}">
              <a16:creationId xmlns:a16="http://schemas.microsoft.com/office/drawing/2014/main" id="{E7A7058B-A371-6E79-DD17-3C92F93FAD11}"/>
            </a:ext>
          </a:extLst>
        </xdr:cNvPr>
        <xdr:cNvSpPr/>
      </xdr:nvSpPr>
      <xdr:spPr>
        <a:xfrm>
          <a:off x="4184196" y="1106261"/>
          <a:ext cx="1596118" cy="1143000"/>
        </a:xfrm>
        <a:prstGeom prst="roundRect">
          <a:avLst/>
        </a:prstGeom>
        <a:ln>
          <a:solidFill>
            <a:schemeClr val="tx1"/>
          </a:solidFill>
        </a:ln>
        <a:effectLst>
          <a:outerShdw blurRad="50800" dist="38100" dir="5400000" algn="t"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ID" sz="1200" b="1" baseline="0">
              <a:latin typeface="+mn-lt"/>
            </a:rPr>
            <a:t> </a:t>
          </a:r>
        </a:p>
      </xdr:txBody>
    </xdr:sp>
    <xdr:clientData/>
  </xdr:twoCellAnchor>
  <xdr:twoCellAnchor>
    <xdr:from>
      <xdr:col>7</xdr:col>
      <xdr:colOff>117022</xdr:colOff>
      <xdr:row>5</xdr:row>
      <xdr:rowOff>61231</xdr:rowOff>
    </xdr:from>
    <xdr:to>
      <xdr:col>9</xdr:col>
      <xdr:colOff>78922</xdr:colOff>
      <xdr:row>7</xdr:row>
      <xdr:rowOff>166006</xdr:rowOff>
    </xdr:to>
    <xdr:sp macro="" textlink="">
      <xdr:nvSpPr>
        <xdr:cNvPr id="3" name="TextBox 2">
          <a:extLst>
            <a:ext uri="{FF2B5EF4-FFF2-40B4-BE49-F238E27FC236}">
              <a16:creationId xmlns:a16="http://schemas.microsoft.com/office/drawing/2014/main" id="{F48CD540-F84A-ECDD-5B73-2286FFBFC4C9}"/>
            </a:ext>
          </a:extLst>
        </xdr:cNvPr>
        <xdr:cNvSpPr txBox="1"/>
      </xdr:nvSpPr>
      <xdr:spPr>
        <a:xfrm>
          <a:off x="4403272" y="1163410"/>
          <a:ext cx="1186543" cy="485775"/>
        </a:xfrm>
        <a:prstGeom prst="rect">
          <a:avLst/>
        </a:prstGeom>
        <a:solidFill>
          <a:schemeClr val="accent6">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D" sz="1100" b="1"/>
            <a:t>TOTAL BARANG MASUK</a:t>
          </a:r>
        </a:p>
      </xdr:txBody>
    </xdr:sp>
    <xdr:clientData/>
  </xdr:twoCellAnchor>
  <xdr:twoCellAnchor>
    <xdr:from>
      <xdr:col>7</xdr:col>
      <xdr:colOff>376919</xdr:colOff>
      <xdr:row>8</xdr:row>
      <xdr:rowOff>108857</xdr:rowOff>
    </xdr:from>
    <xdr:to>
      <xdr:col>8</xdr:col>
      <xdr:colOff>453119</xdr:colOff>
      <xdr:row>9</xdr:row>
      <xdr:rowOff>185056</xdr:rowOff>
    </xdr:to>
    <xdr:sp macro="" textlink="">
      <xdr:nvSpPr>
        <xdr:cNvPr id="5" name="TextBox 4">
          <a:extLst>
            <a:ext uri="{FF2B5EF4-FFF2-40B4-BE49-F238E27FC236}">
              <a16:creationId xmlns:a16="http://schemas.microsoft.com/office/drawing/2014/main" id="{C6C0B597-1301-4F5C-BCE0-3C01A0AC9FF0}"/>
            </a:ext>
          </a:extLst>
        </xdr:cNvPr>
        <xdr:cNvSpPr txBox="1"/>
      </xdr:nvSpPr>
      <xdr:spPr>
        <a:xfrm>
          <a:off x="4663169" y="1782536"/>
          <a:ext cx="688521" cy="266699"/>
        </a:xfrm>
        <a:prstGeom prst="rect">
          <a:avLst/>
        </a:prstGeom>
        <a:ln/>
      </xdr:spPr>
      <xdr:style>
        <a:lnRef idx="2">
          <a:schemeClr val="accent3"/>
        </a:lnRef>
        <a:fillRef idx="1">
          <a:schemeClr val="lt1"/>
        </a:fillRef>
        <a:effectRef idx="0">
          <a:schemeClr val="accent3"/>
        </a:effectRef>
        <a:fontRef idx="minor">
          <a:schemeClr val="dk1"/>
        </a:fontRef>
      </xdr:style>
      <xdr:txBody>
        <a:bodyPr vertOverflow="clip" horzOverflow="clip" wrap="square" rtlCol="0" anchor="ctr"/>
        <a:lstStyle/>
        <a:p>
          <a:pPr algn="ctr"/>
          <a:r>
            <a:rPr lang="en-ID" sz="1100" b="0" i="0" u="none" strike="noStrike">
              <a:solidFill>
                <a:schemeClr val="dk1"/>
              </a:solidFill>
              <a:effectLst/>
              <a:latin typeface="+mn-lt"/>
              <a:ea typeface="+mn-ea"/>
              <a:cs typeface="+mn-cs"/>
            </a:rPr>
            <a:t>170</a:t>
          </a:r>
          <a:r>
            <a:rPr lang="en-ID">
              <a:effectLst/>
            </a:rPr>
            <a:t> </a:t>
          </a:r>
          <a:endParaRPr lang="en-ID" sz="1100" b="1"/>
        </a:p>
      </xdr:txBody>
    </xdr:sp>
    <xdr:clientData/>
  </xdr:twoCellAnchor>
  <xdr:twoCellAnchor>
    <xdr:from>
      <xdr:col>9</xdr:col>
      <xdr:colOff>534760</xdr:colOff>
      <xdr:row>4</xdr:row>
      <xdr:rowOff>172811</xdr:rowOff>
    </xdr:from>
    <xdr:to>
      <xdr:col>12</xdr:col>
      <xdr:colOff>296635</xdr:colOff>
      <xdr:row>10</xdr:row>
      <xdr:rowOff>172811</xdr:rowOff>
    </xdr:to>
    <xdr:sp macro="" textlink="">
      <xdr:nvSpPr>
        <xdr:cNvPr id="6" name="Rectangle: Rounded Corners 5">
          <a:extLst>
            <a:ext uri="{FF2B5EF4-FFF2-40B4-BE49-F238E27FC236}">
              <a16:creationId xmlns:a16="http://schemas.microsoft.com/office/drawing/2014/main" id="{6D1BE47F-7F94-4F91-8B28-A62AAB6340C2}"/>
            </a:ext>
          </a:extLst>
        </xdr:cNvPr>
        <xdr:cNvSpPr/>
      </xdr:nvSpPr>
      <xdr:spPr>
        <a:xfrm>
          <a:off x="6045653" y="1084490"/>
          <a:ext cx="1598839" cy="1143000"/>
        </a:xfrm>
        <a:prstGeom prst="roundRect">
          <a:avLst/>
        </a:prstGeom>
        <a:ln>
          <a:solidFill>
            <a:schemeClr val="tx1"/>
          </a:solidFill>
        </a:ln>
        <a:effectLst>
          <a:outerShdw blurRad="50800" dist="38100" dir="5400000" algn="t"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ID" sz="1200" b="1" baseline="0">
              <a:latin typeface="+mn-lt"/>
            </a:rPr>
            <a:t> </a:t>
          </a:r>
        </a:p>
      </xdr:txBody>
    </xdr:sp>
    <xdr:clientData/>
  </xdr:twoCellAnchor>
  <xdr:twoCellAnchor>
    <xdr:from>
      <xdr:col>10</xdr:col>
      <xdr:colOff>114301</xdr:colOff>
      <xdr:row>5</xdr:row>
      <xdr:rowOff>53066</xdr:rowOff>
    </xdr:from>
    <xdr:to>
      <xdr:col>12</xdr:col>
      <xdr:colOff>76200</xdr:colOff>
      <xdr:row>7</xdr:row>
      <xdr:rowOff>157841</xdr:rowOff>
    </xdr:to>
    <xdr:sp macro="" textlink="">
      <xdr:nvSpPr>
        <xdr:cNvPr id="7" name="TextBox 6">
          <a:extLst>
            <a:ext uri="{FF2B5EF4-FFF2-40B4-BE49-F238E27FC236}">
              <a16:creationId xmlns:a16="http://schemas.microsoft.com/office/drawing/2014/main" id="{2D274254-6AF8-4790-B820-80E1851ABE5C}"/>
            </a:ext>
          </a:extLst>
        </xdr:cNvPr>
        <xdr:cNvSpPr txBox="1"/>
      </xdr:nvSpPr>
      <xdr:spPr>
        <a:xfrm>
          <a:off x="6237515" y="1155245"/>
          <a:ext cx="1186542" cy="485775"/>
        </a:xfrm>
        <a:prstGeom prst="rect">
          <a:avLst/>
        </a:prstGeom>
        <a:solidFill>
          <a:schemeClr val="accent6">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D" sz="1100" b="1"/>
            <a:t>TOTAL BARANG KELUAR</a:t>
          </a:r>
        </a:p>
      </xdr:txBody>
    </xdr:sp>
    <xdr:clientData/>
  </xdr:twoCellAnchor>
  <xdr:twoCellAnchor>
    <xdr:from>
      <xdr:col>10</xdr:col>
      <xdr:colOff>364672</xdr:colOff>
      <xdr:row>8</xdr:row>
      <xdr:rowOff>0</xdr:rowOff>
    </xdr:from>
    <xdr:to>
      <xdr:col>11</xdr:col>
      <xdr:colOff>440871</xdr:colOff>
      <xdr:row>9</xdr:row>
      <xdr:rowOff>76199</xdr:rowOff>
    </xdr:to>
    <xdr:sp macro="" textlink="">
      <xdr:nvSpPr>
        <xdr:cNvPr id="8" name="TextBox 7">
          <a:extLst>
            <a:ext uri="{FF2B5EF4-FFF2-40B4-BE49-F238E27FC236}">
              <a16:creationId xmlns:a16="http://schemas.microsoft.com/office/drawing/2014/main" id="{FF067795-8991-405B-B06C-964F0DB506C4}"/>
            </a:ext>
          </a:extLst>
        </xdr:cNvPr>
        <xdr:cNvSpPr txBox="1"/>
      </xdr:nvSpPr>
      <xdr:spPr>
        <a:xfrm>
          <a:off x="6487886" y="1673679"/>
          <a:ext cx="688521" cy="266699"/>
        </a:xfrm>
        <a:prstGeom prst="rect">
          <a:avLst/>
        </a:prstGeom>
        <a:ln/>
      </xdr:spPr>
      <xdr:style>
        <a:lnRef idx="2">
          <a:schemeClr val="accent3"/>
        </a:lnRef>
        <a:fillRef idx="1">
          <a:schemeClr val="lt1"/>
        </a:fillRef>
        <a:effectRef idx="0">
          <a:schemeClr val="accent3"/>
        </a:effectRef>
        <a:fontRef idx="minor">
          <a:schemeClr val="dk1"/>
        </a:fontRef>
      </xdr:style>
      <xdr:txBody>
        <a:bodyPr vertOverflow="clip" horzOverflow="clip" wrap="square" rtlCol="0" anchor="ctr"/>
        <a:lstStyle/>
        <a:p>
          <a:pPr algn="ctr"/>
          <a:r>
            <a:rPr lang="en-ID" sz="1100" b="0" i="0" u="none" strike="noStrike">
              <a:solidFill>
                <a:schemeClr val="dk1"/>
              </a:solidFill>
              <a:effectLst/>
              <a:latin typeface="+mn-lt"/>
              <a:ea typeface="+mn-ea"/>
              <a:cs typeface="+mn-cs"/>
            </a:rPr>
            <a:t>335</a:t>
          </a:r>
          <a:endParaRPr lang="en-ID" sz="1100" b="1"/>
        </a:p>
      </xdr:txBody>
    </xdr:sp>
    <xdr:clientData/>
  </xdr:twoCellAnchor>
  <xdr:twoCellAnchor>
    <xdr:from>
      <xdr:col>12</xdr:col>
      <xdr:colOff>549728</xdr:colOff>
      <xdr:row>4</xdr:row>
      <xdr:rowOff>176893</xdr:rowOff>
    </xdr:from>
    <xdr:to>
      <xdr:col>15</xdr:col>
      <xdr:colOff>311603</xdr:colOff>
      <xdr:row>10</xdr:row>
      <xdr:rowOff>176893</xdr:rowOff>
    </xdr:to>
    <xdr:sp macro="" textlink="">
      <xdr:nvSpPr>
        <xdr:cNvPr id="9" name="Rectangle: Rounded Corners 8">
          <a:extLst>
            <a:ext uri="{FF2B5EF4-FFF2-40B4-BE49-F238E27FC236}">
              <a16:creationId xmlns:a16="http://schemas.microsoft.com/office/drawing/2014/main" id="{F2DA1B38-F0E2-4E0C-9C35-F007E0D491AF}"/>
            </a:ext>
          </a:extLst>
        </xdr:cNvPr>
        <xdr:cNvSpPr/>
      </xdr:nvSpPr>
      <xdr:spPr>
        <a:xfrm>
          <a:off x="7897585" y="1088572"/>
          <a:ext cx="1598839" cy="1143000"/>
        </a:xfrm>
        <a:prstGeom prst="roundRect">
          <a:avLst/>
        </a:prstGeom>
        <a:ln>
          <a:solidFill>
            <a:schemeClr val="tx1"/>
          </a:solidFill>
        </a:ln>
        <a:effectLst>
          <a:outerShdw blurRad="50800" dist="38100" dir="5400000" algn="t"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ID" sz="1200" b="1" baseline="0">
              <a:latin typeface="+mn-lt"/>
            </a:rPr>
            <a:t> </a:t>
          </a:r>
        </a:p>
      </xdr:txBody>
    </xdr:sp>
    <xdr:clientData/>
  </xdr:twoCellAnchor>
  <xdr:twoCellAnchor>
    <xdr:from>
      <xdr:col>13</xdr:col>
      <xdr:colOff>159203</xdr:colOff>
      <xdr:row>5</xdr:row>
      <xdr:rowOff>43542</xdr:rowOff>
    </xdr:from>
    <xdr:to>
      <xdr:col>15</xdr:col>
      <xdr:colOff>118383</xdr:colOff>
      <xdr:row>7</xdr:row>
      <xdr:rowOff>148317</xdr:rowOff>
    </xdr:to>
    <xdr:sp macro="" textlink="">
      <xdr:nvSpPr>
        <xdr:cNvPr id="10" name="TextBox 9">
          <a:extLst>
            <a:ext uri="{FF2B5EF4-FFF2-40B4-BE49-F238E27FC236}">
              <a16:creationId xmlns:a16="http://schemas.microsoft.com/office/drawing/2014/main" id="{6F5D55A8-2F5E-4ACC-A56E-FC1A15CE24DE}"/>
            </a:ext>
          </a:extLst>
        </xdr:cNvPr>
        <xdr:cNvSpPr txBox="1"/>
      </xdr:nvSpPr>
      <xdr:spPr>
        <a:xfrm>
          <a:off x="8119382" y="1145721"/>
          <a:ext cx="1183822" cy="485775"/>
        </a:xfrm>
        <a:prstGeom prst="rect">
          <a:avLst/>
        </a:prstGeom>
        <a:solidFill>
          <a:schemeClr val="accent6">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D" sz="1100" b="1"/>
            <a:t>TOTAL STOK</a:t>
          </a:r>
        </a:p>
      </xdr:txBody>
    </xdr:sp>
    <xdr:clientData/>
  </xdr:twoCellAnchor>
  <xdr:twoCellAnchor>
    <xdr:from>
      <xdr:col>13</xdr:col>
      <xdr:colOff>406853</xdr:colOff>
      <xdr:row>8</xdr:row>
      <xdr:rowOff>72118</xdr:rowOff>
    </xdr:from>
    <xdr:to>
      <xdr:col>14</xdr:col>
      <xdr:colOff>483054</xdr:colOff>
      <xdr:row>9</xdr:row>
      <xdr:rowOff>148317</xdr:rowOff>
    </xdr:to>
    <xdr:sp macro="" textlink="">
      <xdr:nvSpPr>
        <xdr:cNvPr id="11" name="TextBox 10">
          <a:extLst>
            <a:ext uri="{FF2B5EF4-FFF2-40B4-BE49-F238E27FC236}">
              <a16:creationId xmlns:a16="http://schemas.microsoft.com/office/drawing/2014/main" id="{A6AAD710-1BFE-4080-87A8-0AC88F7469AC}"/>
            </a:ext>
          </a:extLst>
        </xdr:cNvPr>
        <xdr:cNvSpPr txBox="1"/>
      </xdr:nvSpPr>
      <xdr:spPr>
        <a:xfrm>
          <a:off x="8367032" y="1745797"/>
          <a:ext cx="688522" cy="266699"/>
        </a:xfrm>
        <a:prstGeom prst="rect">
          <a:avLst/>
        </a:prstGeom>
        <a:ln/>
      </xdr:spPr>
      <xdr:style>
        <a:lnRef idx="2">
          <a:schemeClr val="accent3"/>
        </a:lnRef>
        <a:fillRef idx="1">
          <a:schemeClr val="lt1"/>
        </a:fillRef>
        <a:effectRef idx="0">
          <a:schemeClr val="accent3"/>
        </a:effectRef>
        <a:fontRef idx="minor">
          <a:schemeClr val="dk1"/>
        </a:fontRef>
      </xdr:style>
      <xdr:txBody>
        <a:bodyPr vertOverflow="clip" horzOverflow="clip" wrap="square" rtlCol="0" anchor="ctr"/>
        <a:lstStyle/>
        <a:p>
          <a:pPr algn="ctr"/>
          <a:r>
            <a:rPr lang="en-ID" sz="1100" b="1"/>
            <a:t>208</a:t>
          </a:r>
        </a:p>
      </xdr:txBody>
    </xdr:sp>
    <xdr:clientData/>
  </xdr:twoCellAnchor>
  <xdr:twoCellAnchor>
    <xdr:from>
      <xdr:col>18</xdr:col>
      <xdr:colOff>390894</xdr:colOff>
      <xdr:row>14</xdr:row>
      <xdr:rowOff>7670</xdr:rowOff>
    </xdr:from>
    <xdr:to>
      <xdr:col>25</xdr:col>
      <xdr:colOff>448044</xdr:colOff>
      <xdr:row>27</xdr:row>
      <xdr:rowOff>83870</xdr:rowOff>
    </xdr:to>
    <xdr:graphicFrame macro="">
      <xdr:nvGraphicFramePr>
        <xdr:cNvPr id="14" name="Chart 13">
          <a:extLst>
            <a:ext uri="{FF2B5EF4-FFF2-40B4-BE49-F238E27FC236}">
              <a16:creationId xmlns:a16="http://schemas.microsoft.com/office/drawing/2014/main" id="{784AA741-F615-452A-B621-A5A392ECEF7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551706</xdr:colOff>
      <xdr:row>13</xdr:row>
      <xdr:rowOff>143494</xdr:rowOff>
    </xdr:from>
    <xdr:to>
      <xdr:col>18</xdr:col>
      <xdr:colOff>231320</xdr:colOff>
      <xdr:row>28</xdr:row>
      <xdr:rowOff>0</xdr:rowOff>
    </xdr:to>
    <xdr:graphicFrame macro="">
      <xdr:nvGraphicFramePr>
        <xdr:cNvPr id="19" name="Chart 18">
          <a:extLst>
            <a:ext uri="{FF2B5EF4-FFF2-40B4-BE49-F238E27FC236}">
              <a16:creationId xmlns:a16="http://schemas.microsoft.com/office/drawing/2014/main" id="{CA9DDB05-0FB4-482F-9D2C-B5865EC0F39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116897</xdr:colOff>
      <xdr:row>13</xdr:row>
      <xdr:rowOff>150668</xdr:rowOff>
    </xdr:from>
    <xdr:to>
      <xdr:col>10</xdr:col>
      <xdr:colOff>421697</xdr:colOff>
      <xdr:row>28</xdr:row>
      <xdr:rowOff>36368</xdr:rowOff>
    </xdr:to>
    <xdr:graphicFrame macro="">
      <xdr:nvGraphicFramePr>
        <xdr:cNvPr id="20" name="Chart 19">
          <a:extLst>
            <a:ext uri="{FF2B5EF4-FFF2-40B4-BE49-F238E27FC236}">
              <a16:creationId xmlns:a16="http://schemas.microsoft.com/office/drawing/2014/main" id="{E143CB5E-A161-4195-A6C0-9772BC0B708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28575</xdr:colOff>
      <xdr:row>5</xdr:row>
      <xdr:rowOff>27214</xdr:rowOff>
    </xdr:from>
    <xdr:to>
      <xdr:col>3</xdr:col>
      <xdr:colOff>20411</xdr:colOff>
      <xdr:row>15</xdr:row>
      <xdr:rowOff>95250</xdr:rowOff>
    </xdr:to>
    <mc:AlternateContent xmlns:mc="http://schemas.openxmlformats.org/markup-compatibility/2006">
      <mc:Choice xmlns:a14="http://schemas.microsoft.com/office/drawing/2010/main" Requires="a14">
        <xdr:graphicFrame macro="">
          <xdr:nvGraphicFramePr>
            <xdr:cNvPr id="21" name="Nama Barang">
              <a:extLst>
                <a:ext uri="{FF2B5EF4-FFF2-40B4-BE49-F238E27FC236}">
                  <a16:creationId xmlns:a16="http://schemas.microsoft.com/office/drawing/2014/main" id="{E14375D9-D52F-F2B8-E037-8E08E9A40426}"/>
                </a:ext>
              </a:extLst>
            </xdr:cNvPr>
            <xdr:cNvGraphicFramePr/>
          </xdr:nvGraphicFramePr>
          <xdr:xfrm>
            <a:off x="0" y="0"/>
            <a:ext cx="0" cy="0"/>
          </xdr:xfrm>
          <a:graphic>
            <a:graphicData uri="http://schemas.microsoft.com/office/drawing/2010/slicer">
              <sle:slicer xmlns:sle="http://schemas.microsoft.com/office/drawing/2010/slicer" name="Nama Barang"/>
            </a:graphicData>
          </a:graphic>
        </xdr:graphicFrame>
      </mc:Choice>
      <mc:Fallback>
        <xdr:sp macro="" textlink="">
          <xdr:nvSpPr>
            <xdr:cNvPr id="0" name=""/>
            <xdr:cNvSpPr>
              <a:spLocks noTextEdit="1"/>
            </xdr:cNvSpPr>
          </xdr:nvSpPr>
          <xdr:spPr>
            <a:xfrm>
              <a:off x="28575" y="1129393"/>
              <a:ext cx="1828800" cy="1973036"/>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28575</xdr:colOff>
      <xdr:row>23</xdr:row>
      <xdr:rowOff>108857</xdr:rowOff>
    </xdr:from>
    <xdr:to>
      <xdr:col>3</xdr:col>
      <xdr:colOff>20411</xdr:colOff>
      <xdr:row>32</xdr:row>
      <xdr:rowOff>149679</xdr:rowOff>
    </xdr:to>
    <mc:AlternateContent xmlns:mc="http://schemas.openxmlformats.org/markup-compatibility/2006">
      <mc:Choice xmlns:a14="http://schemas.microsoft.com/office/drawing/2010/main" Requires="a14">
        <xdr:graphicFrame macro="">
          <xdr:nvGraphicFramePr>
            <xdr:cNvPr id="26" name="Tanggal">
              <a:extLst>
                <a:ext uri="{FF2B5EF4-FFF2-40B4-BE49-F238E27FC236}">
                  <a16:creationId xmlns:a16="http://schemas.microsoft.com/office/drawing/2014/main" id="{B788199C-09C6-CCD9-E4C0-8A28DF6E6D7F}"/>
                </a:ext>
              </a:extLst>
            </xdr:cNvPr>
            <xdr:cNvGraphicFramePr/>
          </xdr:nvGraphicFramePr>
          <xdr:xfrm>
            <a:off x="0" y="0"/>
            <a:ext cx="0" cy="0"/>
          </xdr:xfrm>
          <a:graphic>
            <a:graphicData uri="http://schemas.microsoft.com/office/drawing/2010/slicer">
              <sle:slicer xmlns:sle="http://schemas.microsoft.com/office/drawing/2010/slicer" name="Tanggal"/>
            </a:graphicData>
          </a:graphic>
        </xdr:graphicFrame>
      </mc:Choice>
      <mc:Fallback>
        <xdr:sp macro="" textlink="">
          <xdr:nvSpPr>
            <xdr:cNvPr id="0" name=""/>
            <xdr:cNvSpPr>
              <a:spLocks noTextEdit="1"/>
            </xdr:cNvSpPr>
          </xdr:nvSpPr>
          <xdr:spPr>
            <a:xfrm>
              <a:off x="28575" y="4640036"/>
              <a:ext cx="1828800" cy="1755322"/>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25853</xdr:colOff>
      <xdr:row>15</xdr:row>
      <xdr:rowOff>136072</xdr:rowOff>
    </xdr:from>
    <xdr:to>
      <xdr:col>3</xdr:col>
      <xdr:colOff>17689</xdr:colOff>
      <xdr:row>23</xdr:row>
      <xdr:rowOff>13608</xdr:rowOff>
    </xdr:to>
    <mc:AlternateContent xmlns:mc="http://schemas.openxmlformats.org/markup-compatibility/2006">
      <mc:Choice xmlns:a14="http://schemas.microsoft.com/office/drawing/2010/main" Requires="a14">
        <xdr:graphicFrame macro="">
          <xdr:nvGraphicFramePr>
            <xdr:cNvPr id="27" name="Kategori">
              <a:extLst>
                <a:ext uri="{FF2B5EF4-FFF2-40B4-BE49-F238E27FC236}">
                  <a16:creationId xmlns:a16="http://schemas.microsoft.com/office/drawing/2014/main" id="{3CBC5475-43BA-9C40-1A17-C555AFE90A6E}"/>
                </a:ext>
              </a:extLst>
            </xdr:cNvPr>
            <xdr:cNvGraphicFramePr/>
          </xdr:nvGraphicFramePr>
          <xdr:xfrm>
            <a:off x="0" y="0"/>
            <a:ext cx="0" cy="0"/>
          </xdr:xfrm>
          <a:graphic>
            <a:graphicData uri="http://schemas.microsoft.com/office/drawing/2010/slicer">
              <sle:slicer xmlns:sle="http://schemas.microsoft.com/office/drawing/2010/slicer" name="Kategori"/>
            </a:graphicData>
          </a:graphic>
        </xdr:graphicFrame>
      </mc:Choice>
      <mc:Fallback>
        <xdr:sp macro="" textlink="">
          <xdr:nvSpPr>
            <xdr:cNvPr id="0" name=""/>
            <xdr:cNvSpPr>
              <a:spLocks noTextEdit="1"/>
            </xdr:cNvSpPr>
          </xdr:nvSpPr>
          <xdr:spPr>
            <a:xfrm>
              <a:off x="25853" y="3143251"/>
              <a:ext cx="1828800" cy="1401536"/>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ujun Junaedi" refreshedDate="45992.476358564818" createdVersion="8" refreshedVersion="8" minRefreshableVersion="3" recordCount="8" xr:uid="{52F60EB5-7969-4129-8313-DAB3A9572E1F}">
  <cacheSource type="worksheet">
    <worksheetSource name="Table4"/>
  </cacheSource>
  <cacheFields count="8">
    <cacheField name="Kode Barang" numFmtId="0">
      <sharedItems/>
    </cacheField>
    <cacheField name="Nama Barang" numFmtId="0">
      <sharedItems count="8">
        <s v="Pipa PVC 1 Inch"/>
        <s v="Baut M8"/>
        <s v="Lem PVC"/>
        <s v="Sarung Tangan Karet"/>
        <s v="Klem Pipa 1 inch"/>
        <s v="Masker Debu"/>
        <s v="Oli Mesin"/>
        <s v="Kabel NYA 2.5 mm"/>
      </sharedItems>
    </cacheField>
    <cacheField name="Kategori" numFmtId="0">
      <sharedItems count="4">
        <s v="Material"/>
        <s v="Bahan Kimia"/>
        <s v="Safety"/>
        <s v="Elektrikal"/>
      </sharedItems>
    </cacheField>
    <cacheField name="Stok Minimum" numFmtId="0">
      <sharedItems containsSemiMixedTypes="0" containsString="0" containsNumber="1" containsInteger="1" minValue="5" maxValue="50"/>
    </cacheField>
    <cacheField name="Total Masuk" numFmtId="0">
      <sharedItems containsSemiMixedTypes="0" containsString="0" containsNumber="1" containsInteger="1" minValue="0" maxValue="100"/>
    </cacheField>
    <cacheField name="Total Keluar" numFmtId="0">
      <sharedItems containsSemiMixedTypes="0" containsString="0" containsNumber="1" containsInteger="1" minValue="0" maxValue="50"/>
    </cacheField>
    <cacheField name="Total Akhir" numFmtId="1">
      <sharedItems containsSemiMixedTypes="0" containsString="0" containsNumber="1" containsInteger="1" minValue="0" maxValue="60" count="7">
        <n v="50"/>
        <n v="0"/>
        <n v="18"/>
        <n v="15"/>
        <n v="45"/>
        <n v="20"/>
        <n v="60"/>
      </sharedItems>
    </cacheField>
    <cacheField name="Status" numFmtId="0">
      <sharedItems count="2">
        <s v="Aman"/>
        <s v="Warning"/>
      </sharedItems>
    </cacheField>
  </cacheFields>
  <extLst>
    <ext xmlns:x14="http://schemas.microsoft.com/office/spreadsheetml/2009/9/main" uri="{725AE2AE-9491-48be-B2B4-4EB974FC3084}">
      <x14:pivotCacheDefinition pivotCacheId="1434886192"/>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ujun Junaedi" refreshedDate="45992.60817939815" createdVersion="8" refreshedVersion="8" minRefreshableVersion="3" recordCount="13" xr:uid="{B4070CDD-CC98-4783-8B64-FD7C49BC419B}">
  <cacheSource type="worksheet">
    <worksheetSource name="Table2"/>
  </cacheSource>
  <cacheFields count="7">
    <cacheField name="Tanggal" numFmtId="14">
      <sharedItems containsSemiMixedTypes="0" containsNonDate="0" containsDate="1" containsString="0" minDate="2025-01-02T00:00:00" maxDate="2025-01-17T00:00:00" count="13">
        <d v="2025-01-02T00:00:00"/>
        <d v="2025-01-05T00:00:00"/>
        <d v="2025-01-06T00:00:00"/>
        <d v="2025-01-07T00:00:00"/>
        <d v="2025-01-08T00:00:00"/>
        <d v="2025-01-09T00:00:00"/>
        <d v="2025-01-10T00:00:00"/>
        <d v="2025-01-11T00:00:00"/>
        <d v="2025-01-12T00:00:00"/>
        <d v="2025-01-13T00:00:00"/>
        <d v="2025-01-14T00:00:00"/>
        <d v="2025-01-15T00:00:00"/>
        <d v="2025-01-16T00:00:00"/>
      </sharedItems>
    </cacheField>
    <cacheField name="Kode Barang" numFmtId="0">
      <sharedItems/>
    </cacheField>
    <cacheField name="Nama Barang" numFmtId="0">
      <sharedItems count="8">
        <s v="Pipa PVC 1 Inch"/>
        <s v="Baut M8"/>
        <s v="Lem PVC"/>
        <s v="Sarung Tangan Karet"/>
        <s v="Klem Pipa 1 inch"/>
        <s v="Masker Debu"/>
        <s v="Oli Mesin"/>
        <s v="Kabel NYA 2.5 mm"/>
      </sharedItems>
    </cacheField>
    <cacheField name="Kategori" numFmtId="0">
      <sharedItems count="4">
        <s v="Material"/>
        <s v="Bahan Kimia"/>
        <s v="Safety"/>
        <s v="Elektrikal"/>
      </sharedItems>
    </cacheField>
    <cacheField name="Jenis Transaksi" numFmtId="0">
      <sharedItems count="2">
        <s v="Masuk"/>
        <s v="Keluar"/>
      </sharedItems>
    </cacheField>
    <cacheField name="Jumlah" numFmtId="0">
      <sharedItems containsSemiMixedTypes="0" containsString="0" containsNumber="1" containsInteger="1" minValue="3" maxValue="100"/>
    </cacheField>
    <cacheField name="Keterangan" numFmtId="0">
      <sharedItems/>
    </cacheField>
  </cacheFields>
  <extLst>
    <ext xmlns:x14="http://schemas.microsoft.com/office/spreadsheetml/2009/9/main" uri="{725AE2AE-9491-48be-B2B4-4EB974FC3084}">
      <x14:pivotCacheDefinition pivotCacheId="183318516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
  <r>
    <s v="BRG001"/>
    <x v="0"/>
    <x v="0"/>
    <n v="20"/>
    <n v="100"/>
    <n v="50"/>
    <x v="0"/>
    <x v="0"/>
  </r>
  <r>
    <s v="BRG002"/>
    <x v="1"/>
    <x v="0"/>
    <n v="50"/>
    <n v="0"/>
    <n v="40"/>
    <x v="1"/>
    <x v="1"/>
  </r>
  <r>
    <s v="BRG003"/>
    <x v="2"/>
    <x v="1"/>
    <n v="10"/>
    <n v="30"/>
    <n v="12"/>
    <x v="2"/>
    <x v="0"/>
  </r>
  <r>
    <s v="BRG004"/>
    <x v="3"/>
    <x v="2"/>
    <n v="15"/>
    <n v="25"/>
    <n v="10"/>
    <x v="3"/>
    <x v="0"/>
  </r>
  <r>
    <s v="BRG005"/>
    <x v="4"/>
    <x v="0"/>
    <n v="25"/>
    <n v="60"/>
    <n v="15"/>
    <x v="4"/>
    <x v="0"/>
  </r>
  <r>
    <s v="BRG006"/>
    <x v="5"/>
    <x v="2"/>
    <n v="8"/>
    <n v="20"/>
    <n v="0"/>
    <x v="5"/>
    <x v="0"/>
  </r>
  <r>
    <s v="BRG007"/>
    <x v="6"/>
    <x v="1"/>
    <n v="5"/>
    <n v="0"/>
    <n v="3"/>
    <x v="1"/>
    <x v="1"/>
  </r>
  <r>
    <s v="BRG008"/>
    <x v="7"/>
    <x v="3"/>
    <n v="30"/>
    <n v="100"/>
    <n v="40"/>
    <x v="6"/>
    <x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3">
  <r>
    <x v="0"/>
    <s v="BRG001"/>
    <x v="0"/>
    <x v="0"/>
    <x v="0"/>
    <n v="100"/>
    <s v="Pembelian vendor A"/>
  </r>
  <r>
    <x v="1"/>
    <s v="BRG002"/>
    <x v="1"/>
    <x v="0"/>
    <x v="1"/>
    <n v="40"/>
    <s v="Proyek A"/>
  </r>
  <r>
    <x v="2"/>
    <s v="BRG003"/>
    <x v="2"/>
    <x v="1"/>
    <x v="0"/>
    <n v="30"/>
    <s v="Restock"/>
  </r>
  <r>
    <x v="3"/>
    <s v="BRG004"/>
    <x v="3"/>
    <x v="2"/>
    <x v="1"/>
    <n v="10"/>
    <s v="Proyek B"/>
  </r>
  <r>
    <x v="4"/>
    <s v="BRG005"/>
    <x v="4"/>
    <x v="0"/>
    <x v="1"/>
    <n v="15"/>
    <s v="Maintenance"/>
  </r>
  <r>
    <x v="5"/>
    <s v="BRG001"/>
    <x v="0"/>
    <x v="0"/>
    <x v="1"/>
    <n v="50"/>
    <s v="Proyek A"/>
  </r>
  <r>
    <x v="6"/>
    <s v="BRG006"/>
    <x v="5"/>
    <x v="2"/>
    <x v="0"/>
    <n v="20"/>
    <s v="Pembelian vendor B"/>
  </r>
  <r>
    <x v="7"/>
    <s v="BRG007"/>
    <x v="6"/>
    <x v="1"/>
    <x v="1"/>
    <n v="3"/>
    <s v="Service mesin"/>
  </r>
  <r>
    <x v="8"/>
    <s v="BRG003"/>
    <x v="2"/>
    <x v="1"/>
    <x v="1"/>
    <n v="12"/>
    <s v="Proyek C"/>
  </r>
  <r>
    <x v="9"/>
    <s v="BRG008"/>
    <x v="7"/>
    <x v="3"/>
    <x v="0"/>
    <n v="100"/>
    <s v="Pembelian vendor A"/>
  </r>
  <r>
    <x v="10"/>
    <s v="BRG008"/>
    <x v="7"/>
    <x v="3"/>
    <x v="1"/>
    <n v="40"/>
    <s v="Instalasi listrik"/>
  </r>
  <r>
    <x v="11"/>
    <s v="BRG005"/>
    <x v="4"/>
    <x v="0"/>
    <x v="0"/>
    <n v="60"/>
    <s v="Restock"/>
  </r>
  <r>
    <x v="12"/>
    <s v="BRG004"/>
    <x v="3"/>
    <x v="2"/>
    <x v="0"/>
    <n v="25"/>
    <s v="Pembelian vendor C"/>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BAA45A3-93F9-483A-B63D-23F5E2825869}" name="PivotTable8"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rowHeaderCaption="Kategori">
  <location ref="H4:I9" firstHeaderRow="1" firstDataRow="1" firstDataCol="1"/>
  <pivotFields count="8">
    <pivotField showAll="0"/>
    <pivotField showAll="0"/>
    <pivotField axis="axisRow" showAll="0">
      <items count="5">
        <item x="1"/>
        <item x="3"/>
        <item x="0"/>
        <item x="2"/>
        <item t="default"/>
      </items>
    </pivotField>
    <pivotField showAll="0"/>
    <pivotField showAll="0"/>
    <pivotField showAll="0"/>
    <pivotField dataField="1" numFmtId="1" showAll="0">
      <items count="8">
        <item x="1"/>
        <item x="3"/>
        <item x="2"/>
        <item x="5"/>
        <item x="4"/>
        <item x="0"/>
        <item x="6"/>
        <item t="default"/>
      </items>
    </pivotField>
    <pivotField showAll="0"/>
  </pivotFields>
  <rowFields count="1">
    <field x="2"/>
  </rowFields>
  <rowItems count="5">
    <i>
      <x/>
    </i>
    <i>
      <x v="1"/>
    </i>
    <i>
      <x v="2"/>
    </i>
    <i>
      <x v="3"/>
    </i>
    <i t="grand">
      <x/>
    </i>
  </rowItems>
  <colItems count="1">
    <i/>
  </colItems>
  <dataFields count="1">
    <dataField name="Sum of Total Akhir" fld="6" baseField="0" baseItem="0" numFmtId="1"/>
  </dataFields>
  <chartFormats count="5">
    <chartFormat chart="2" format="6" series="1">
      <pivotArea type="data" outline="0" fieldPosition="0">
        <references count="1">
          <reference field="4294967294" count="1" selected="0">
            <x v="0"/>
          </reference>
        </references>
      </pivotArea>
    </chartFormat>
    <chartFormat chart="2" format="7">
      <pivotArea type="data" outline="0" fieldPosition="0">
        <references count="2">
          <reference field="4294967294" count="1" selected="0">
            <x v="0"/>
          </reference>
          <reference field="2" count="1" selected="0">
            <x v="0"/>
          </reference>
        </references>
      </pivotArea>
    </chartFormat>
    <chartFormat chart="2" format="8">
      <pivotArea type="data" outline="0" fieldPosition="0">
        <references count="2">
          <reference field="4294967294" count="1" selected="0">
            <x v="0"/>
          </reference>
          <reference field="2" count="1" selected="0">
            <x v="1"/>
          </reference>
        </references>
      </pivotArea>
    </chartFormat>
    <chartFormat chart="2" format="9">
      <pivotArea type="data" outline="0" fieldPosition="0">
        <references count="2">
          <reference field="4294967294" count="1" selected="0">
            <x v="0"/>
          </reference>
          <reference field="2" count="1" selected="0">
            <x v="2"/>
          </reference>
        </references>
      </pivotArea>
    </chartFormat>
    <chartFormat chart="2" format="10">
      <pivotArea type="data" outline="0" fieldPosition="0">
        <references count="2">
          <reference field="4294967294" count="1" selected="0">
            <x v="0"/>
          </reference>
          <reference field="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7A8A156-B589-4131-A846-C57DBC4D0076}" name="PivotTable7" cacheId="2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4" rowHeaderCaption="Nama Barang">
  <location ref="E4:F12" firstHeaderRow="1" firstDataRow="1" firstDataCol="1" rowPageCount="1" colPageCount="1"/>
  <pivotFields count="7">
    <pivotField numFmtId="14" showAll="0">
      <items count="14">
        <item x="0"/>
        <item x="1"/>
        <item x="2"/>
        <item x="3"/>
        <item x="4"/>
        <item x="5"/>
        <item x="6"/>
        <item x="7"/>
        <item x="8"/>
        <item x="9"/>
        <item x="10"/>
        <item x="11"/>
        <item x="12"/>
        <item t="default"/>
      </items>
    </pivotField>
    <pivotField showAll="0"/>
    <pivotField axis="axisRow" showAll="0">
      <items count="9">
        <item x="1"/>
        <item x="7"/>
        <item x="4"/>
        <item x="2"/>
        <item x="5"/>
        <item x="6"/>
        <item x="0"/>
        <item x="3"/>
        <item t="default"/>
      </items>
    </pivotField>
    <pivotField showAll="0">
      <items count="5">
        <item x="1"/>
        <item x="3"/>
        <item x="0"/>
        <item x="2"/>
        <item t="default"/>
      </items>
    </pivotField>
    <pivotField axis="axisPage" multipleItemSelectionAllowed="1" showAll="0">
      <items count="3">
        <item x="1"/>
        <item h="1" x="0"/>
        <item t="default"/>
      </items>
    </pivotField>
    <pivotField dataField="1" showAll="0"/>
    <pivotField showAll="0"/>
  </pivotFields>
  <rowFields count="1">
    <field x="2"/>
  </rowFields>
  <rowItems count="8">
    <i>
      <x/>
    </i>
    <i>
      <x v="1"/>
    </i>
    <i>
      <x v="2"/>
    </i>
    <i>
      <x v="3"/>
    </i>
    <i>
      <x v="5"/>
    </i>
    <i>
      <x v="6"/>
    </i>
    <i>
      <x v="7"/>
    </i>
    <i t="grand">
      <x/>
    </i>
  </rowItems>
  <colItems count="1">
    <i/>
  </colItems>
  <pageFields count="1">
    <pageField fld="4" hier="-1"/>
  </pageFields>
  <dataFields count="1">
    <dataField name="Sum of Jumlah" fld="5" baseField="0" baseItem="0"/>
  </dataFields>
  <chartFormats count="2">
    <chartFormat chart="20" format="0" series="1">
      <pivotArea type="data" outline="0" fieldPosition="0">
        <references count="1">
          <reference field="4294967294" count="1" selected="0">
            <x v="0"/>
          </reference>
        </references>
      </pivotArea>
    </chartFormat>
    <chartFormat chart="22"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F60DD67-0432-4395-B8BD-AAB3ABD8418C}" name="PivotTable6" cacheId="2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rowHeaderCaption="Nama Barang">
  <location ref="B4:C11" firstHeaderRow="1" firstDataRow="1" firstDataCol="1" rowPageCount="1" colPageCount="1"/>
  <pivotFields count="7">
    <pivotField numFmtId="14" showAll="0">
      <items count="14">
        <item x="0"/>
        <item x="1"/>
        <item x="2"/>
        <item x="3"/>
        <item x="4"/>
        <item x="5"/>
        <item x="6"/>
        <item x="7"/>
        <item x="8"/>
        <item x="9"/>
        <item x="10"/>
        <item x="11"/>
        <item x="12"/>
        <item t="default"/>
      </items>
    </pivotField>
    <pivotField showAll="0"/>
    <pivotField axis="axisRow" showAll="0">
      <items count="9">
        <item x="1"/>
        <item x="7"/>
        <item x="4"/>
        <item x="2"/>
        <item x="5"/>
        <item x="6"/>
        <item x="0"/>
        <item x="3"/>
        <item t="default"/>
      </items>
    </pivotField>
    <pivotField showAll="0">
      <items count="5">
        <item x="1"/>
        <item x="3"/>
        <item x="0"/>
        <item x="2"/>
        <item t="default"/>
      </items>
    </pivotField>
    <pivotField axis="axisPage" multipleItemSelectionAllowed="1" showAll="0">
      <items count="3">
        <item h="1" x="1"/>
        <item x="0"/>
        <item t="default"/>
      </items>
    </pivotField>
    <pivotField dataField="1" showAll="0"/>
    <pivotField showAll="0"/>
  </pivotFields>
  <rowFields count="1">
    <field x="2"/>
  </rowFields>
  <rowItems count="7">
    <i>
      <x v="1"/>
    </i>
    <i>
      <x v="2"/>
    </i>
    <i>
      <x v="3"/>
    </i>
    <i>
      <x v="4"/>
    </i>
    <i>
      <x v="6"/>
    </i>
    <i>
      <x v="7"/>
    </i>
    <i t="grand">
      <x/>
    </i>
  </rowItems>
  <colItems count="1">
    <i/>
  </colItems>
  <pageFields count="1">
    <pageField fld="4" hier="-1"/>
  </pageFields>
  <dataFields count="1">
    <dataField name="Sum of Jumlah" fld="5" baseField="0" baseItem="0"/>
  </dataFields>
  <chartFormats count="4">
    <chartFormat chart="5" format="0" series="1">
      <pivotArea type="data" outline="0" fieldPosition="0">
        <references count="1">
          <reference field="4294967294" count="1" selected="0">
            <x v="0"/>
          </reference>
        </references>
      </pivotArea>
    </chartFormat>
    <chartFormat chart="6" format="1"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85E5213-AC8D-46E0-B35A-D5BAEA889D39}" name="PivotTable9"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K4:L7" firstHeaderRow="1" firstDataRow="1" firstDataCol="1" rowPageCount="1" colPageCount="1"/>
  <pivotFields count="8">
    <pivotField showAll="0"/>
    <pivotField axis="axisRow" showAll="0">
      <items count="9">
        <item x="1"/>
        <item x="7"/>
        <item x="4"/>
        <item x="2"/>
        <item x="5"/>
        <item x="6"/>
        <item x="0"/>
        <item x="3"/>
        <item t="default"/>
      </items>
    </pivotField>
    <pivotField showAll="0">
      <items count="5">
        <item x="1"/>
        <item x="3"/>
        <item x="0"/>
        <item x="2"/>
        <item t="default"/>
      </items>
    </pivotField>
    <pivotField showAll="0"/>
    <pivotField showAll="0"/>
    <pivotField showAll="0"/>
    <pivotField dataField="1" numFmtId="1" showAll="0">
      <items count="8">
        <item x="1"/>
        <item x="3"/>
        <item x="2"/>
        <item x="5"/>
        <item x="4"/>
        <item x="0"/>
        <item x="6"/>
        <item t="default"/>
      </items>
    </pivotField>
    <pivotField axis="axisPage" showAll="0">
      <items count="3">
        <item x="0"/>
        <item x="1"/>
        <item t="default"/>
      </items>
    </pivotField>
  </pivotFields>
  <rowFields count="1">
    <field x="1"/>
  </rowFields>
  <rowItems count="3">
    <i>
      <x/>
    </i>
    <i>
      <x v="5"/>
    </i>
    <i t="grand">
      <x/>
    </i>
  </rowItems>
  <colItems count="1">
    <i/>
  </colItems>
  <pageFields count="1">
    <pageField fld="7" item="1" hier="-1"/>
  </pageFields>
  <dataFields count="1">
    <dataField name="Sum of Total Akhir" fld="6" baseField="0" baseItem="0" numFmtId="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Nama_Barang" xr10:uid="{87E5B9FC-754F-4BCD-B2E4-219405360209}" sourceName="Nama Barang">
  <pivotTables>
    <pivotTable tabId="4" name="PivotTable6"/>
    <pivotTable tabId="4" name="PivotTable7"/>
  </pivotTables>
  <data>
    <tabular pivotCacheId="1833185162">
      <items count="8">
        <i x="1" s="1"/>
        <i x="7" s="1"/>
        <i x="4" s="1"/>
        <i x="2" s="1"/>
        <i x="5" s="1"/>
        <i x="6" s="1"/>
        <i x="0"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anggal" xr10:uid="{21D394CF-B95A-486C-81FF-113A0D92EEFC}" sourceName="Tanggal">
  <pivotTables>
    <pivotTable tabId="4" name="PivotTable6"/>
    <pivotTable tabId="4" name="PivotTable7"/>
  </pivotTables>
  <data>
    <tabular pivotCacheId="1833185162">
      <items count="13">
        <i x="0" s="1"/>
        <i x="1" s="1"/>
        <i x="2" s="1"/>
        <i x="3" s="1"/>
        <i x="4" s="1"/>
        <i x="5" s="1"/>
        <i x="6" s="1"/>
        <i x="7" s="1"/>
        <i x="8" s="1"/>
        <i x="9" s="1"/>
        <i x="10" s="1"/>
        <i x="11" s="1"/>
        <i x="1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Kategori" xr10:uid="{F1D17923-6C72-4281-A2E3-C01D3760C5FE}" sourceName="Kategori">
  <pivotTables>
    <pivotTable tabId="4" name="PivotTable6"/>
    <pivotTable tabId="4" name="PivotTable7"/>
  </pivotTables>
  <data>
    <tabular pivotCacheId="1833185162">
      <items count="4">
        <i x="1" s="1"/>
        <i x="3" s="1"/>
        <i x="0"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Nama Barang" xr10:uid="{C49F475D-14E3-46F3-B740-5E031E439EBB}" cache="Slicer_Nama_Barang" caption="Nama Barang" style="SlicerStyleLight6" rowHeight="241300"/>
  <slicer name="Tanggal" xr10:uid="{F8A3AC6F-1915-4396-806A-8C4104246EA2}" cache="Slicer_Tanggal" caption="Tanggal" style="SlicerStyleLight6" rowHeight="241300"/>
  <slicer name="Kategori" xr10:uid="{AA1817E7-6E37-4E39-A96C-F48F874732E8}" cache="Slicer_Kategori" caption="Kategori" style="SlicerStyleLight6"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BE427D8-757C-4843-83CD-157586F194CA}" name="Table1" displayName="Table1" ref="E4:I12" totalsRowShown="0" headerRowDxfId="30" dataDxfId="29">
  <autoFilter ref="E4:I12" xr:uid="{BBE427D8-757C-4843-83CD-157586F194CA}"/>
  <sortState xmlns:xlrd2="http://schemas.microsoft.com/office/spreadsheetml/2017/richdata2" ref="E5:I12">
    <sortCondition ref="E4:E12"/>
  </sortState>
  <tableColumns count="5">
    <tableColumn id="1" xr3:uid="{8D1D365C-74C9-4AE8-827D-1520841553D0}" name="Kode Barang" dataDxfId="28"/>
    <tableColumn id="2" xr3:uid="{F5DA481A-2AC9-4590-BF24-6D5828D78CC2}" name="Nama Barang" dataDxfId="27"/>
    <tableColumn id="3" xr3:uid="{4D736996-AFFC-457D-BF67-751F5DAD79AA}" name="Kategori" dataDxfId="26"/>
    <tableColumn id="4" xr3:uid="{89398FED-3FEA-45E4-A33A-D9D51DB811E9}" name="Satuan" dataDxfId="25"/>
    <tableColumn id="5" xr3:uid="{2F035D5F-BF6C-4070-93B7-3B90E3B034F7}" name="Stok Minimum" dataDxfId="24"/>
  </tableColumns>
  <tableStyleInfo name="TableStyleMedium13"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DAE86DD7-7A58-49BC-A6DD-C46494E4C330}" name="Table2" displayName="Table2" ref="E3:K16" totalsRowShown="0" headerRowDxfId="23" dataDxfId="22">
  <autoFilter ref="E3:K16" xr:uid="{DAE86DD7-7A58-49BC-A6DD-C46494E4C330}"/>
  <tableColumns count="7">
    <tableColumn id="1" xr3:uid="{BE0008C6-D214-4205-9E39-4259810AD8C2}" name="Tanggal" dataDxfId="21"/>
    <tableColumn id="2" xr3:uid="{161D4923-B48A-4986-8D6E-A43C2B7C92B4}" name="Kode Barang" dataDxfId="20"/>
    <tableColumn id="6" xr3:uid="{E0EAAF9B-80F7-4035-9D6C-92E213B3C791}" name="Nama Barang" dataDxfId="19">
      <calculatedColumnFormula>_xlfn.XLOOKUP(Table2[[#This Row],[Kode Barang]],Table1[Kode Barang],Table1[Nama Barang])</calculatedColumnFormula>
    </tableColumn>
    <tableColumn id="7" xr3:uid="{CC1B7CBC-FC2B-4BB9-9B3B-214AC5DF78F7}" name="Kategori" dataDxfId="18">
      <calculatedColumnFormula>_xlfn.XLOOKUP(Table2[[#This Row],[Nama Barang]],Table1[Nama Barang],Table1[Kategori])</calculatedColumnFormula>
    </tableColumn>
    <tableColumn id="3" xr3:uid="{1388137C-90C6-4B68-AA45-CC5D838F6577}" name="Jenis Transaksi" dataDxfId="17"/>
    <tableColumn id="4" xr3:uid="{84FDD4AF-8CCF-45F9-8882-C60A9FF1676D}" name="Jumlah" dataDxfId="16"/>
    <tableColumn id="5" xr3:uid="{4DD8486C-762B-43A3-BE15-37B5AEB3F407}" name="Keterangan" dataDxfId="15"/>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18228A08-FE12-4206-B317-F3E9C48E82D7}" name="Table4" displayName="Table4" ref="F5:M13" totalsRowShown="0" headerRowDxfId="14" dataDxfId="13" tableBorderDxfId="12">
  <autoFilter ref="F5:M13" xr:uid="{18228A08-FE12-4206-B317-F3E9C48E82D7}"/>
  <tableColumns count="8">
    <tableColumn id="1" xr3:uid="{2FA5D329-6D5C-4E0A-8299-8DDEDCD4D81F}" name="Kode Barang" dataDxfId="11"/>
    <tableColumn id="2" xr3:uid="{5F680E7D-2018-4727-AE5D-53F8E1F8D018}" name="Nama Barang" dataDxfId="10">
      <calculatedColumnFormula>_xlfn.XLOOKUP('Rekap Stok'!F6,Table1[Kode Barang],Table1[Nama Barang])</calculatedColumnFormula>
    </tableColumn>
    <tableColumn id="3" xr3:uid="{9E9BFF10-53FD-4DAD-BFCA-0842AF83D422}" name="Kategori" dataDxfId="9">
      <calculatedColumnFormula>_xlfn.XLOOKUP(F6,Table1[Kode Barang],Table1[Kategori])</calculatedColumnFormula>
    </tableColumn>
    <tableColumn id="4" xr3:uid="{79E33DA6-7B53-4670-8E2D-819E7872F704}" name="Stok Minimum" dataDxfId="8">
      <calculatedColumnFormula>_xlfn.XLOOKUP('Rekap Stok'!F6,Table1[Kode Barang],Table1[Stok Minimum])</calculatedColumnFormula>
    </tableColumn>
    <tableColumn id="5" xr3:uid="{C793E2B4-D6A0-4E3A-A3C6-804A7A65BB67}" name="Total Masuk" dataDxfId="7">
      <calculatedColumnFormula>SUMIFS(Table2[Jumlah],Table2[Kode Barang],'Rekap Stok'!F6,Table2[Jenis Transaksi],"Masuk")</calculatedColumnFormula>
    </tableColumn>
    <tableColumn id="6" xr3:uid="{8CDF8442-0623-4FC8-BD99-EAC72AF7AA50}" name="Total Keluar" dataDxfId="6">
      <calculatedColumnFormula>SUMIFS(Table2[Jumlah],Table2[Kode Barang],'Rekap Stok'!F6,Table2[Jenis Transaksi],"Keluar")</calculatedColumnFormula>
    </tableColumn>
    <tableColumn id="7" xr3:uid="{F38EEEF1-EF96-4B43-8367-DCAF5E2FF6E0}" name="Total Akhir" dataDxfId="5">
      <calculatedColumnFormula>MAX(0,J6-K6)</calculatedColumnFormula>
    </tableColumn>
    <tableColumn id="8" xr3:uid="{FC235C0C-6F90-446E-99BF-1EB1F46D027E}" name="Status" dataDxfId="4">
      <calculatedColumnFormula>IF(L6&lt;I6,"Warning","Aman")</calculatedColumnFormula>
    </tableColumn>
  </tableColumns>
  <tableStyleInfo name="TableStyleMedium25"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6F32F70D-E080-429D-AF91-4D3054F3CEB2}" name="Table3" displayName="Table3" ref="A3:G4" totalsRowShown="0">
  <autoFilter ref="A3:G4" xr:uid="{6F32F70D-E080-429D-AF91-4D3054F3CEB2}"/>
  <tableColumns count="7">
    <tableColumn id="1" xr3:uid="{ECAC8C91-38D2-428C-B002-59E1C4A05EBB}" name="Tanggal" dataDxfId="0"/>
    <tableColumn id="2" xr3:uid="{AB8791F1-F84C-4FF5-952B-FCDFD1B74845}" name="Kode Barang"/>
    <tableColumn id="3" xr3:uid="{F73820F6-234E-4FC7-86D7-0D023482DBE6}" name="Nama Barang"/>
    <tableColumn id="4" xr3:uid="{AD9CFA00-7508-4B67-B7C9-3143EBB42F0E}" name="Kategori"/>
    <tableColumn id="5" xr3:uid="{D2AF82A8-DD8E-401E-B0D8-F406B83DF01D}" name="Jenis Transaksi"/>
    <tableColumn id="6" xr3:uid="{466A07D7-99A0-4D5D-B9E5-FBDD58BBCCBE}" name="Jumlah"/>
    <tableColumn id="7" xr3:uid="{F195EEFF-AE87-404F-B3CB-5937DECD56A5}" name="Keteranga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35FE48-C8B5-4F43-AF98-EC8675C3FB00}">
  <dimension ref="E2:I12"/>
  <sheetViews>
    <sheetView workbookViewId="0">
      <selection activeCell="K5" sqref="K5"/>
    </sheetView>
  </sheetViews>
  <sheetFormatPr defaultColWidth="10.28515625" defaultRowHeight="15" x14ac:dyDescent="0.25"/>
  <cols>
    <col min="5" max="5" width="16.5703125" bestFit="1" customWidth="1"/>
    <col min="6" max="6" width="17.140625" bestFit="1" customWidth="1"/>
    <col min="7" max="7" width="13" bestFit="1" customWidth="1"/>
    <col min="8" max="8" width="11.5703125" bestFit="1" customWidth="1"/>
    <col min="9" max="9" width="16.140625" customWidth="1"/>
  </cols>
  <sheetData>
    <row r="2" spans="5:9" ht="18.75" x14ac:dyDescent="0.3">
      <c r="E2" s="20" t="s">
        <v>58</v>
      </c>
      <c r="F2" s="20"/>
      <c r="G2" s="20"/>
      <c r="H2" s="20"/>
      <c r="I2" s="20"/>
    </row>
    <row r="4" spans="5:9" ht="35.1" customHeight="1" x14ac:dyDescent="0.25">
      <c r="E4" s="2" t="s">
        <v>0</v>
      </c>
      <c r="F4" s="2" t="s">
        <v>1</v>
      </c>
      <c r="G4" s="2" t="s">
        <v>2</v>
      </c>
      <c r="H4" s="2" t="s">
        <v>3</v>
      </c>
      <c r="I4" s="2" t="s">
        <v>4</v>
      </c>
    </row>
    <row r="5" spans="5:9" ht="35.1" customHeight="1" x14ac:dyDescent="0.25">
      <c r="E5" s="1" t="s">
        <v>5</v>
      </c>
      <c r="F5" s="1" t="s">
        <v>6</v>
      </c>
      <c r="G5" s="1" t="s">
        <v>7</v>
      </c>
      <c r="H5" s="1" t="s">
        <v>8</v>
      </c>
      <c r="I5" s="1">
        <v>20</v>
      </c>
    </row>
    <row r="6" spans="5:9" ht="35.1" customHeight="1" x14ac:dyDescent="0.25">
      <c r="E6" s="1" t="s">
        <v>9</v>
      </c>
      <c r="F6" s="1" t="s">
        <v>10</v>
      </c>
      <c r="G6" s="1" t="s">
        <v>7</v>
      </c>
      <c r="H6" s="1" t="s">
        <v>8</v>
      </c>
      <c r="I6" s="1">
        <v>50</v>
      </c>
    </row>
    <row r="7" spans="5:9" ht="35.1" customHeight="1" x14ac:dyDescent="0.25">
      <c r="E7" s="1" t="s">
        <v>11</v>
      </c>
      <c r="F7" s="1" t="s">
        <v>12</v>
      </c>
      <c r="G7" s="1" t="s">
        <v>13</v>
      </c>
      <c r="H7" s="1" t="s">
        <v>14</v>
      </c>
      <c r="I7" s="1">
        <v>10</v>
      </c>
    </row>
    <row r="8" spans="5:9" ht="35.1" customHeight="1" x14ac:dyDescent="0.25">
      <c r="E8" s="1" t="s">
        <v>15</v>
      </c>
      <c r="F8" s="1" t="s">
        <v>16</v>
      </c>
      <c r="G8" s="1" t="s">
        <v>17</v>
      </c>
      <c r="H8" s="1" t="s">
        <v>18</v>
      </c>
      <c r="I8" s="1">
        <v>15</v>
      </c>
    </row>
    <row r="9" spans="5:9" ht="35.1" customHeight="1" x14ac:dyDescent="0.25">
      <c r="E9" s="1" t="s">
        <v>19</v>
      </c>
      <c r="F9" s="1" t="s">
        <v>20</v>
      </c>
      <c r="G9" s="1" t="s">
        <v>7</v>
      </c>
      <c r="H9" s="1" t="s">
        <v>8</v>
      </c>
      <c r="I9" s="1">
        <v>25</v>
      </c>
    </row>
    <row r="10" spans="5:9" ht="35.1" customHeight="1" x14ac:dyDescent="0.25">
      <c r="E10" s="1" t="s">
        <v>21</v>
      </c>
      <c r="F10" s="1" t="s">
        <v>22</v>
      </c>
      <c r="G10" s="1" t="s">
        <v>17</v>
      </c>
      <c r="H10" s="1" t="s">
        <v>23</v>
      </c>
      <c r="I10" s="1">
        <v>8</v>
      </c>
    </row>
    <row r="11" spans="5:9" ht="35.1" customHeight="1" x14ac:dyDescent="0.25">
      <c r="E11" s="1" t="s">
        <v>24</v>
      </c>
      <c r="F11" s="1" t="s">
        <v>25</v>
      </c>
      <c r="G11" s="1" t="s">
        <v>13</v>
      </c>
      <c r="H11" s="1" t="s">
        <v>26</v>
      </c>
      <c r="I11" s="1">
        <v>5</v>
      </c>
    </row>
    <row r="12" spans="5:9" ht="35.1" customHeight="1" x14ac:dyDescent="0.25">
      <c r="E12" s="1" t="s">
        <v>27</v>
      </c>
      <c r="F12" s="1" t="s">
        <v>28</v>
      </c>
      <c r="G12" s="1" t="s">
        <v>29</v>
      </c>
      <c r="H12" s="1" t="s">
        <v>30</v>
      </c>
      <c r="I12" s="1">
        <v>30</v>
      </c>
    </row>
  </sheetData>
  <mergeCells count="1">
    <mergeCell ref="E2:I2"/>
  </mergeCells>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213814-6050-406E-857D-4E8DFFE2FF21}">
  <dimension ref="E1:K16"/>
  <sheetViews>
    <sheetView workbookViewId="0">
      <selection activeCell="F1" sqref="F1:I1"/>
    </sheetView>
  </sheetViews>
  <sheetFormatPr defaultColWidth="10.5703125" defaultRowHeight="15" x14ac:dyDescent="0.25"/>
  <cols>
    <col min="5" max="5" width="12.28515625" bestFit="1" customWidth="1"/>
    <col min="6" max="6" width="16.5703125" bestFit="1" customWidth="1"/>
    <col min="7" max="7" width="16.5703125" customWidth="1"/>
    <col min="8" max="8" width="18.7109375" bestFit="1" customWidth="1"/>
    <col min="9" max="9" width="11.85546875" bestFit="1" customWidth="1"/>
    <col min="10" max="10" width="15.7109375" bestFit="1" customWidth="1"/>
  </cols>
  <sheetData>
    <row r="1" spans="5:11" ht="21" x14ac:dyDescent="0.35">
      <c r="F1" s="21" t="s">
        <v>59</v>
      </c>
      <c r="G1" s="22"/>
      <c r="H1" s="22"/>
      <c r="I1" s="22"/>
    </row>
    <row r="3" spans="5:11" ht="30" x14ac:dyDescent="0.25">
      <c r="E3" s="2" t="s">
        <v>31</v>
      </c>
      <c r="F3" s="2" t="s">
        <v>0</v>
      </c>
      <c r="G3" s="2" t="s">
        <v>1</v>
      </c>
      <c r="H3" s="2" t="s">
        <v>2</v>
      </c>
      <c r="I3" s="2" t="s">
        <v>32</v>
      </c>
      <c r="J3" s="2" t="s">
        <v>33</v>
      </c>
      <c r="K3" s="2" t="s">
        <v>34</v>
      </c>
    </row>
    <row r="4" spans="5:11" ht="35.1" customHeight="1" x14ac:dyDescent="0.25">
      <c r="E4" s="3">
        <v>45659</v>
      </c>
      <c r="F4" s="1" t="s">
        <v>5</v>
      </c>
      <c r="G4" s="1" t="str">
        <f>_xlfn.XLOOKUP(Table2[[#This Row],[Kode Barang]],Table1[Kode Barang],Table1[Nama Barang])</f>
        <v>Pipa PVC 1 Inch</v>
      </c>
      <c r="H4" s="1" t="str">
        <f>_xlfn.XLOOKUP(Table2[[#This Row],[Nama Barang]],Table1[Nama Barang],Table1[Kategori])</f>
        <v>Material</v>
      </c>
      <c r="I4" s="1" t="s">
        <v>35</v>
      </c>
      <c r="J4" s="1">
        <v>100</v>
      </c>
      <c r="K4" s="1" t="s">
        <v>36</v>
      </c>
    </row>
    <row r="5" spans="5:11" ht="35.1" customHeight="1" x14ac:dyDescent="0.25">
      <c r="E5" s="3">
        <v>45662</v>
      </c>
      <c r="F5" s="1" t="s">
        <v>9</v>
      </c>
      <c r="G5" s="1" t="str">
        <f>_xlfn.XLOOKUP(Table2[[#This Row],[Kode Barang]],Table1[Kode Barang],Table1[Nama Barang])</f>
        <v>Baut M8</v>
      </c>
      <c r="H5" s="1" t="str">
        <f>_xlfn.XLOOKUP(Table2[[#This Row],[Nama Barang]],Table1[Nama Barang],Table1[Kategori])</f>
        <v>Material</v>
      </c>
      <c r="I5" s="1" t="s">
        <v>37</v>
      </c>
      <c r="J5" s="1">
        <v>40</v>
      </c>
      <c r="K5" s="1" t="s">
        <v>38</v>
      </c>
    </row>
    <row r="6" spans="5:11" ht="35.1" customHeight="1" x14ac:dyDescent="0.25">
      <c r="E6" s="3">
        <v>45663</v>
      </c>
      <c r="F6" s="1" t="s">
        <v>11</v>
      </c>
      <c r="G6" s="1" t="str">
        <f>_xlfn.XLOOKUP(Table2[[#This Row],[Kode Barang]],Table1[Kode Barang],Table1[Nama Barang])</f>
        <v>Lem PVC</v>
      </c>
      <c r="H6" s="1" t="str">
        <f>_xlfn.XLOOKUP(Table2[[#This Row],[Nama Barang]],Table1[Nama Barang],Table1[Kategori])</f>
        <v>Bahan Kimia</v>
      </c>
      <c r="I6" s="1" t="s">
        <v>35</v>
      </c>
      <c r="J6" s="1">
        <v>30</v>
      </c>
      <c r="K6" s="1" t="s">
        <v>39</v>
      </c>
    </row>
    <row r="7" spans="5:11" ht="35.1" customHeight="1" x14ac:dyDescent="0.25">
      <c r="E7" s="3">
        <v>45664</v>
      </c>
      <c r="F7" s="1" t="s">
        <v>15</v>
      </c>
      <c r="G7" s="1" t="str">
        <f>_xlfn.XLOOKUP(Table2[[#This Row],[Kode Barang]],Table1[Kode Barang],Table1[Nama Barang])</f>
        <v>Sarung Tangan Karet</v>
      </c>
      <c r="H7" s="1" t="str">
        <f>_xlfn.XLOOKUP(Table2[[#This Row],[Nama Barang]],Table1[Nama Barang],Table1[Kategori])</f>
        <v>Safety</v>
      </c>
      <c r="I7" s="1" t="s">
        <v>37</v>
      </c>
      <c r="J7" s="1">
        <v>10</v>
      </c>
      <c r="K7" s="1" t="s">
        <v>40</v>
      </c>
    </row>
    <row r="8" spans="5:11" ht="35.1" customHeight="1" x14ac:dyDescent="0.25">
      <c r="E8" s="3">
        <v>45665</v>
      </c>
      <c r="F8" s="1" t="s">
        <v>19</v>
      </c>
      <c r="G8" s="1" t="str">
        <f>_xlfn.XLOOKUP(Table2[[#This Row],[Kode Barang]],Table1[Kode Barang],Table1[Nama Barang])</f>
        <v>Klem Pipa 1 inch</v>
      </c>
      <c r="H8" s="1" t="str">
        <f>_xlfn.XLOOKUP(Table2[[#This Row],[Nama Barang]],Table1[Nama Barang],Table1[Kategori])</f>
        <v>Material</v>
      </c>
      <c r="I8" s="1" t="s">
        <v>37</v>
      </c>
      <c r="J8" s="1">
        <v>15</v>
      </c>
      <c r="K8" s="1" t="s">
        <v>41</v>
      </c>
    </row>
    <row r="9" spans="5:11" ht="35.1" customHeight="1" x14ac:dyDescent="0.25">
      <c r="E9" s="3">
        <v>45666</v>
      </c>
      <c r="F9" s="1" t="s">
        <v>5</v>
      </c>
      <c r="G9" s="1" t="str">
        <f>_xlfn.XLOOKUP(Table2[[#This Row],[Kode Barang]],Table1[Kode Barang],Table1[Nama Barang])</f>
        <v>Pipa PVC 1 Inch</v>
      </c>
      <c r="H9" s="1" t="str">
        <f>_xlfn.XLOOKUP(Table2[[#This Row],[Nama Barang]],Table1[Nama Barang],Table1[Kategori])</f>
        <v>Material</v>
      </c>
      <c r="I9" s="1" t="s">
        <v>37</v>
      </c>
      <c r="J9" s="1">
        <v>50</v>
      </c>
      <c r="K9" s="1" t="s">
        <v>38</v>
      </c>
    </row>
    <row r="10" spans="5:11" ht="35.1" customHeight="1" x14ac:dyDescent="0.25">
      <c r="E10" s="3">
        <v>45667</v>
      </c>
      <c r="F10" s="1" t="s">
        <v>21</v>
      </c>
      <c r="G10" s="1" t="str">
        <f>_xlfn.XLOOKUP(Table2[[#This Row],[Kode Barang]],Table1[Kode Barang],Table1[Nama Barang])</f>
        <v>Masker Debu</v>
      </c>
      <c r="H10" s="1" t="str">
        <f>_xlfn.XLOOKUP(Table2[[#This Row],[Nama Barang]],Table1[Nama Barang],Table1[Kategori])</f>
        <v>Safety</v>
      </c>
      <c r="I10" s="1" t="s">
        <v>35</v>
      </c>
      <c r="J10" s="1">
        <v>20</v>
      </c>
      <c r="K10" s="1" t="s">
        <v>42</v>
      </c>
    </row>
    <row r="11" spans="5:11" ht="35.1" customHeight="1" x14ac:dyDescent="0.25">
      <c r="E11" s="3">
        <v>45668</v>
      </c>
      <c r="F11" s="1" t="s">
        <v>24</v>
      </c>
      <c r="G11" s="1" t="str">
        <f>_xlfn.XLOOKUP(Table2[[#This Row],[Kode Barang]],Table1[Kode Barang],Table1[Nama Barang])</f>
        <v>Oli Mesin</v>
      </c>
      <c r="H11" s="1" t="str">
        <f>_xlfn.XLOOKUP(Table2[[#This Row],[Nama Barang]],Table1[Nama Barang],Table1[Kategori])</f>
        <v>Bahan Kimia</v>
      </c>
      <c r="I11" s="1" t="s">
        <v>37</v>
      </c>
      <c r="J11" s="1">
        <v>3</v>
      </c>
      <c r="K11" s="1" t="s">
        <v>43</v>
      </c>
    </row>
    <row r="12" spans="5:11" ht="35.1" customHeight="1" x14ac:dyDescent="0.25">
      <c r="E12" s="3">
        <v>45669</v>
      </c>
      <c r="F12" s="1" t="s">
        <v>11</v>
      </c>
      <c r="G12" s="1" t="str">
        <f>_xlfn.XLOOKUP(Table2[[#This Row],[Kode Barang]],Table1[Kode Barang],Table1[Nama Barang])</f>
        <v>Lem PVC</v>
      </c>
      <c r="H12" s="1" t="str">
        <f>_xlfn.XLOOKUP(Table2[[#This Row],[Nama Barang]],Table1[Nama Barang],Table1[Kategori])</f>
        <v>Bahan Kimia</v>
      </c>
      <c r="I12" s="1" t="s">
        <v>37</v>
      </c>
      <c r="J12" s="1">
        <v>12</v>
      </c>
      <c r="K12" s="1" t="s">
        <v>44</v>
      </c>
    </row>
    <row r="13" spans="5:11" ht="35.1" customHeight="1" x14ac:dyDescent="0.25">
      <c r="E13" s="3">
        <v>45670</v>
      </c>
      <c r="F13" s="1" t="s">
        <v>27</v>
      </c>
      <c r="G13" s="1" t="str">
        <f>_xlfn.XLOOKUP(Table2[[#This Row],[Kode Barang]],Table1[Kode Barang],Table1[Nama Barang])</f>
        <v>Kabel NYA 2.5 mm</v>
      </c>
      <c r="H13" s="1" t="str">
        <f>_xlfn.XLOOKUP(Table2[[#This Row],[Nama Barang]],Table1[Nama Barang],Table1[Kategori])</f>
        <v>Elektrikal</v>
      </c>
      <c r="I13" s="1" t="s">
        <v>35</v>
      </c>
      <c r="J13" s="1">
        <v>100</v>
      </c>
      <c r="K13" s="1" t="s">
        <v>36</v>
      </c>
    </row>
    <row r="14" spans="5:11" ht="35.1" customHeight="1" x14ac:dyDescent="0.25">
      <c r="E14" s="3">
        <v>45671</v>
      </c>
      <c r="F14" s="1" t="s">
        <v>27</v>
      </c>
      <c r="G14" s="1" t="str">
        <f>_xlfn.XLOOKUP(Table2[[#This Row],[Kode Barang]],Table1[Kode Barang],Table1[Nama Barang])</f>
        <v>Kabel NYA 2.5 mm</v>
      </c>
      <c r="H14" s="1" t="str">
        <f>_xlfn.XLOOKUP(Table2[[#This Row],[Nama Barang]],Table1[Nama Barang],Table1[Kategori])</f>
        <v>Elektrikal</v>
      </c>
      <c r="I14" s="1" t="s">
        <v>37</v>
      </c>
      <c r="J14" s="1">
        <v>40</v>
      </c>
      <c r="K14" s="1" t="s">
        <v>45</v>
      </c>
    </row>
    <row r="15" spans="5:11" ht="35.1" customHeight="1" x14ac:dyDescent="0.25">
      <c r="E15" s="3">
        <v>45672</v>
      </c>
      <c r="F15" s="1" t="s">
        <v>19</v>
      </c>
      <c r="G15" s="1" t="str">
        <f>_xlfn.XLOOKUP(Table2[[#This Row],[Kode Barang]],Table1[Kode Barang],Table1[Nama Barang])</f>
        <v>Klem Pipa 1 inch</v>
      </c>
      <c r="H15" s="1" t="str">
        <f>_xlfn.XLOOKUP(Table2[[#This Row],[Nama Barang]],Table1[Nama Barang],Table1[Kategori])</f>
        <v>Material</v>
      </c>
      <c r="I15" s="1" t="s">
        <v>35</v>
      </c>
      <c r="J15" s="1">
        <v>60</v>
      </c>
      <c r="K15" s="1" t="s">
        <v>39</v>
      </c>
    </row>
    <row r="16" spans="5:11" ht="35.1" customHeight="1" x14ac:dyDescent="0.25">
      <c r="E16" s="3">
        <v>45673</v>
      </c>
      <c r="F16" s="1" t="s">
        <v>15</v>
      </c>
      <c r="G16" s="1" t="str">
        <f>_xlfn.XLOOKUP(Table2[[#This Row],[Kode Barang]],Table1[Kode Barang],Table1[Nama Barang])</f>
        <v>Sarung Tangan Karet</v>
      </c>
      <c r="H16" s="1" t="str">
        <f>_xlfn.XLOOKUP(Table2[[#This Row],[Nama Barang]],Table1[Nama Barang],Table1[Kategori])</f>
        <v>Safety</v>
      </c>
      <c r="I16" s="1" t="s">
        <v>35</v>
      </c>
      <c r="J16" s="1">
        <v>25</v>
      </c>
      <c r="K16" s="1" t="s">
        <v>46</v>
      </c>
    </row>
  </sheetData>
  <mergeCells count="1">
    <mergeCell ref="F1:I1"/>
  </mergeCells>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1F668B-2229-4856-AE9E-656823F02611}">
  <dimension ref="F5:M13"/>
  <sheetViews>
    <sheetView workbookViewId="0">
      <selection activeCell="H15" sqref="H15"/>
    </sheetView>
  </sheetViews>
  <sheetFormatPr defaultRowHeight="24.95" customHeight="1" x14ac:dyDescent="0.25"/>
  <cols>
    <col min="6" max="6" width="16.5703125" bestFit="1" customWidth="1"/>
    <col min="7" max="7" width="17.28515625" bestFit="1" customWidth="1"/>
    <col min="8" max="8" width="13" bestFit="1" customWidth="1"/>
    <col min="9" max="9" width="18.7109375" bestFit="1" customWidth="1"/>
    <col min="10" max="10" width="16.28515625" bestFit="1" customWidth="1"/>
    <col min="11" max="11" width="16.140625" bestFit="1" customWidth="1"/>
    <col min="12" max="12" width="15.140625" bestFit="1" customWidth="1"/>
    <col min="13" max="13" width="11" bestFit="1" customWidth="1"/>
  </cols>
  <sheetData>
    <row r="5" spans="6:13" ht="24.95" customHeight="1" x14ac:dyDescent="0.25">
      <c r="F5" s="10" t="s">
        <v>0</v>
      </c>
      <c r="G5" s="11" t="s">
        <v>1</v>
      </c>
      <c r="H5" s="11" t="s">
        <v>2</v>
      </c>
      <c r="I5" s="11" t="s">
        <v>4</v>
      </c>
      <c r="J5" s="11" t="s">
        <v>47</v>
      </c>
      <c r="K5" s="11" t="s">
        <v>48</v>
      </c>
      <c r="L5" s="11" t="s">
        <v>49</v>
      </c>
      <c r="M5" s="11" t="s">
        <v>50</v>
      </c>
    </row>
    <row r="6" spans="6:13" ht="24.95" customHeight="1" x14ac:dyDescent="0.25">
      <c r="F6" s="8" t="s">
        <v>5</v>
      </c>
      <c r="G6" s="4" t="str">
        <f>_xlfn.XLOOKUP('Rekap Stok'!F6,Table1[Kode Barang],Table1[Nama Barang])</f>
        <v>Pipa PVC 1 Inch</v>
      </c>
      <c r="H6" s="4" t="str">
        <f>_xlfn.XLOOKUP(F6,Table1[Kode Barang],Table1[Kategori])</f>
        <v>Material</v>
      </c>
      <c r="I6" s="4">
        <f>_xlfn.XLOOKUP('Rekap Stok'!F6,Table1[Kode Barang],Table1[Stok Minimum])</f>
        <v>20</v>
      </c>
      <c r="J6" s="4">
        <f>SUMIFS(Table2[Jumlah],Table2[Kode Barang],'Rekap Stok'!F6,Table2[Jenis Transaksi],"Masuk")</f>
        <v>100</v>
      </c>
      <c r="K6" s="4">
        <f>SUMIFS(Table2[Jumlah],Table2[Kode Barang],'Rekap Stok'!F6,Table2[Jenis Transaksi],"Keluar")</f>
        <v>50</v>
      </c>
      <c r="L6" s="5">
        <f>MAX(0,J6-K6)</f>
        <v>50</v>
      </c>
      <c r="M6" s="4" t="str">
        <f>IF(L6&lt;I6,"Warning","Aman")</f>
        <v>Aman</v>
      </c>
    </row>
    <row r="7" spans="6:13" ht="24.95" customHeight="1" x14ac:dyDescent="0.25">
      <c r="F7" s="9" t="s">
        <v>9</v>
      </c>
      <c r="G7" s="6" t="str">
        <f>_xlfn.XLOOKUP('Rekap Stok'!F7,Table1[Kode Barang],Table1[Nama Barang])</f>
        <v>Baut M8</v>
      </c>
      <c r="H7" s="6" t="str">
        <f>_xlfn.XLOOKUP(F7,Table1[Kode Barang],Table1[Kategori])</f>
        <v>Material</v>
      </c>
      <c r="I7" s="6">
        <f>_xlfn.XLOOKUP('Rekap Stok'!F7,Table1[Kode Barang],Table1[Stok Minimum])</f>
        <v>50</v>
      </c>
      <c r="J7" s="6">
        <f>SUMIFS(Table2[Jumlah],Table2[Kode Barang],'Rekap Stok'!F7,Table2[Jenis Transaksi],"Masuk")</f>
        <v>0</v>
      </c>
      <c r="K7" s="6">
        <f>SUMIFS(Table2[Jumlah],Table2[Kode Barang],'Rekap Stok'!F7,Table2[Jenis Transaksi],"Keluar")</f>
        <v>40</v>
      </c>
      <c r="L7" s="7">
        <f t="shared" ref="L7:L13" si="0">MAX(0,J7-K7)</f>
        <v>0</v>
      </c>
      <c r="M7" s="6" t="str">
        <f t="shared" ref="M7:M13" si="1">IF(L7&lt;I7,"Warning","Aman")</f>
        <v>Warning</v>
      </c>
    </row>
    <row r="8" spans="6:13" ht="24.95" customHeight="1" x14ac:dyDescent="0.25">
      <c r="F8" s="8" t="s">
        <v>11</v>
      </c>
      <c r="G8" s="4" t="str">
        <f>_xlfn.XLOOKUP('Rekap Stok'!F8,Table1[Kode Barang],Table1[Nama Barang])</f>
        <v>Lem PVC</v>
      </c>
      <c r="H8" s="4" t="str">
        <f>_xlfn.XLOOKUP(F8,Table1[Kode Barang],Table1[Kategori])</f>
        <v>Bahan Kimia</v>
      </c>
      <c r="I8" s="4">
        <f>_xlfn.XLOOKUP('Rekap Stok'!F8,Table1[Kode Barang],Table1[Stok Minimum])</f>
        <v>10</v>
      </c>
      <c r="J8" s="4">
        <f>SUMIFS(Table2[Jumlah],Table2[Kode Barang],'Rekap Stok'!F8,Table2[Jenis Transaksi],"Masuk")</f>
        <v>30</v>
      </c>
      <c r="K8" s="4">
        <f>SUMIFS(Table2[Jumlah],Table2[Kode Barang],'Rekap Stok'!F8,Table2[Jenis Transaksi],"Keluar")</f>
        <v>12</v>
      </c>
      <c r="L8" s="5">
        <f t="shared" si="0"/>
        <v>18</v>
      </c>
      <c r="M8" s="4" t="str">
        <f t="shared" si="1"/>
        <v>Aman</v>
      </c>
    </row>
    <row r="9" spans="6:13" ht="24.95" customHeight="1" x14ac:dyDescent="0.25">
      <c r="F9" s="9" t="s">
        <v>15</v>
      </c>
      <c r="G9" s="6" t="str">
        <f>_xlfn.XLOOKUP('Rekap Stok'!F9,Table1[Kode Barang],Table1[Nama Barang])</f>
        <v>Sarung Tangan Karet</v>
      </c>
      <c r="H9" s="6" t="str">
        <f>_xlfn.XLOOKUP(F9,Table1[Kode Barang],Table1[Kategori])</f>
        <v>Safety</v>
      </c>
      <c r="I9" s="6">
        <f>_xlfn.XLOOKUP('Rekap Stok'!F9,Table1[Kode Barang],Table1[Stok Minimum])</f>
        <v>15</v>
      </c>
      <c r="J9" s="6">
        <f>SUMIFS(Table2[Jumlah],Table2[Kode Barang],'Rekap Stok'!F9,Table2[Jenis Transaksi],"Masuk")</f>
        <v>25</v>
      </c>
      <c r="K9" s="6">
        <f>SUMIFS(Table2[Jumlah],Table2[Kode Barang],'Rekap Stok'!F9,Table2[Jenis Transaksi],"Keluar")</f>
        <v>10</v>
      </c>
      <c r="L9" s="7">
        <f t="shared" si="0"/>
        <v>15</v>
      </c>
      <c r="M9" s="6" t="str">
        <f t="shared" si="1"/>
        <v>Aman</v>
      </c>
    </row>
    <row r="10" spans="6:13" ht="24.95" customHeight="1" x14ac:dyDescent="0.25">
      <c r="F10" s="8" t="s">
        <v>19</v>
      </c>
      <c r="G10" s="4" t="str">
        <f>_xlfn.XLOOKUP('Rekap Stok'!F10,Table1[Kode Barang],Table1[Nama Barang])</f>
        <v>Klem Pipa 1 inch</v>
      </c>
      <c r="H10" s="4" t="str">
        <f>_xlfn.XLOOKUP(F10,Table1[Kode Barang],Table1[Kategori])</f>
        <v>Material</v>
      </c>
      <c r="I10" s="4">
        <f>_xlfn.XLOOKUP('Rekap Stok'!F10,Table1[Kode Barang],Table1[Stok Minimum])</f>
        <v>25</v>
      </c>
      <c r="J10" s="4">
        <f>SUMIFS(Table2[Jumlah],Table2[Kode Barang],'Rekap Stok'!F10,Table2[Jenis Transaksi],"Masuk")</f>
        <v>60</v>
      </c>
      <c r="K10" s="4">
        <f>SUMIFS(Table2[Jumlah],Table2[Kode Barang],'Rekap Stok'!F10,Table2[Jenis Transaksi],"Keluar")</f>
        <v>15</v>
      </c>
      <c r="L10" s="5">
        <f t="shared" si="0"/>
        <v>45</v>
      </c>
      <c r="M10" s="4" t="str">
        <f t="shared" si="1"/>
        <v>Aman</v>
      </c>
    </row>
    <row r="11" spans="6:13" ht="24.95" customHeight="1" x14ac:dyDescent="0.25">
      <c r="F11" s="9" t="s">
        <v>21</v>
      </c>
      <c r="G11" s="6" t="str">
        <f>_xlfn.XLOOKUP('Rekap Stok'!F11,Table1[Kode Barang],Table1[Nama Barang])</f>
        <v>Masker Debu</v>
      </c>
      <c r="H11" s="6" t="str">
        <f>_xlfn.XLOOKUP(F11,Table1[Kode Barang],Table1[Kategori])</f>
        <v>Safety</v>
      </c>
      <c r="I11" s="6">
        <f>_xlfn.XLOOKUP('Rekap Stok'!F11,Table1[Kode Barang],Table1[Stok Minimum])</f>
        <v>8</v>
      </c>
      <c r="J11" s="6">
        <f>SUMIFS(Table2[Jumlah],Table2[Kode Barang],'Rekap Stok'!F11,Table2[Jenis Transaksi],"Masuk")</f>
        <v>20</v>
      </c>
      <c r="K11" s="6">
        <f>SUMIFS(Table2[Jumlah],Table2[Kode Barang],'Rekap Stok'!F11,Table2[Jenis Transaksi],"Keluar")</f>
        <v>0</v>
      </c>
      <c r="L11" s="7">
        <f t="shared" si="0"/>
        <v>20</v>
      </c>
      <c r="M11" s="6" t="str">
        <f t="shared" si="1"/>
        <v>Aman</v>
      </c>
    </row>
    <row r="12" spans="6:13" ht="24.95" customHeight="1" x14ac:dyDescent="0.25">
      <c r="F12" s="8" t="s">
        <v>24</v>
      </c>
      <c r="G12" s="4" t="str">
        <f>_xlfn.XLOOKUP('Rekap Stok'!F12,Table1[Kode Barang],Table1[Nama Barang])</f>
        <v>Oli Mesin</v>
      </c>
      <c r="H12" s="4" t="str">
        <f>_xlfn.XLOOKUP(F12,Table1[Kode Barang],Table1[Kategori])</f>
        <v>Bahan Kimia</v>
      </c>
      <c r="I12" s="4">
        <f>_xlfn.XLOOKUP('Rekap Stok'!F12,Table1[Kode Barang],Table1[Stok Minimum])</f>
        <v>5</v>
      </c>
      <c r="J12" s="4">
        <f>SUMIFS(Table2[Jumlah],Table2[Kode Barang],'Rekap Stok'!F12,Table2[Jenis Transaksi],"Masuk")</f>
        <v>0</v>
      </c>
      <c r="K12" s="4">
        <f>SUMIFS(Table2[Jumlah],Table2[Kode Barang],'Rekap Stok'!F12,Table2[Jenis Transaksi],"Keluar")</f>
        <v>3</v>
      </c>
      <c r="L12" s="5">
        <f t="shared" si="0"/>
        <v>0</v>
      </c>
      <c r="M12" s="4" t="str">
        <f t="shared" si="1"/>
        <v>Warning</v>
      </c>
    </row>
    <row r="13" spans="6:13" ht="24.95" customHeight="1" x14ac:dyDescent="0.25">
      <c r="F13" s="9" t="s">
        <v>27</v>
      </c>
      <c r="G13" s="6" t="str">
        <f>_xlfn.XLOOKUP('Rekap Stok'!F13,Table1[Kode Barang],Table1[Nama Barang])</f>
        <v>Kabel NYA 2.5 mm</v>
      </c>
      <c r="H13" s="6" t="str">
        <f>_xlfn.XLOOKUP(F13,Table1[Kode Barang],Table1[Kategori])</f>
        <v>Elektrikal</v>
      </c>
      <c r="I13" s="6">
        <f>_xlfn.XLOOKUP('Rekap Stok'!F13,Table1[Kode Barang],Table1[Stok Minimum])</f>
        <v>30</v>
      </c>
      <c r="J13" s="6">
        <f>SUMIFS(Table2[Jumlah],Table2[Kode Barang],'Rekap Stok'!F13,Table2[Jenis Transaksi],"Masuk")</f>
        <v>100</v>
      </c>
      <c r="K13" s="6">
        <f>SUMIFS(Table2[Jumlah],Table2[Kode Barang],'Rekap Stok'!F13,Table2[Jenis Transaksi],"Keluar")</f>
        <v>40</v>
      </c>
      <c r="L13" s="7">
        <f t="shared" si="0"/>
        <v>60</v>
      </c>
      <c r="M13" s="6" t="str">
        <f t="shared" si="1"/>
        <v>Aman</v>
      </c>
    </row>
  </sheetData>
  <conditionalFormatting sqref="F5:M5 M6 F7:M13 F6:K6">
    <cfRule type="expression" dxfId="3" priority="3">
      <formula>$L$6&lt;$I$6</formula>
    </cfRule>
  </conditionalFormatting>
  <conditionalFormatting sqref="M1:M1048576">
    <cfRule type="cellIs" dxfId="2" priority="1" operator="equal">
      <formula>"Aman"</formula>
    </cfRule>
    <cfRule type="cellIs" dxfId="1" priority="2" operator="greaterThan">
      <formula>"Warnin"</formula>
    </cfRule>
  </conditionalFormatting>
  <conditionalFormatting sqref="O8">
    <cfRule type="expression" priority="11">
      <formula>if+$L$6&lt;$I$6</formula>
    </cfRule>
  </conditionalFormatting>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E96342-6A22-43F6-869C-BBC9B76417F6}">
  <dimension ref="A1:G4"/>
  <sheetViews>
    <sheetView workbookViewId="0">
      <selection activeCell="A3" sqref="A3:G4"/>
    </sheetView>
  </sheetViews>
  <sheetFormatPr defaultRowHeight="15" x14ac:dyDescent="0.25"/>
  <cols>
    <col min="1" max="1" width="10.7109375" bestFit="1" customWidth="1"/>
    <col min="2" max="2" width="14.28515625" bestFit="1" customWidth="1"/>
    <col min="3" max="3" width="14.85546875" bestFit="1" customWidth="1"/>
    <col min="4" max="4" width="11.85546875" bestFit="1" customWidth="1"/>
    <col min="5" max="5" width="16.42578125" bestFit="1" customWidth="1"/>
    <col min="6" max="6" width="9.5703125" bestFit="1" customWidth="1"/>
    <col min="7" max="7" width="13.42578125" bestFit="1" customWidth="1"/>
  </cols>
  <sheetData>
    <row r="1" spans="1:7" x14ac:dyDescent="0.25">
      <c r="A1" s="26" t="s">
        <v>60</v>
      </c>
    </row>
    <row r="3" spans="1:7" x14ac:dyDescent="0.25">
      <c r="A3" t="s">
        <v>31</v>
      </c>
      <c r="B3" t="s">
        <v>0</v>
      </c>
      <c r="C3" t="s">
        <v>1</v>
      </c>
      <c r="D3" t="s">
        <v>2</v>
      </c>
      <c r="E3" t="s">
        <v>32</v>
      </c>
      <c r="F3" t="s">
        <v>33</v>
      </c>
      <c r="G3" t="s">
        <v>34</v>
      </c>
    </row>
    <row r="4" spans="1:7" x14ac:dyDescent="0.25">
      <c r="A4" s="25">
        <v>45668</v>
      </c>
      <c r="B4" t="s">
        <v>24</v>
      </c>
      <c r="C4" t="s">
        <v>25</v>
      </c>
      <c r="D4" t="s">
        <v>13</v>
      </c>
      <c r="E4" t="s">
        <v>37</v>
      </c>
      <c r="F4">
        <v>3</v>
      </c>
      <c r="G4" t="s">
        <v>43</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14DD10-D8DF-4EF0-979A-FFE8F37A9D50}">
  <dimension ref="B2:L12"/>
  <sheetViews>
    <sheetView tabSelected="1" workbookViewId="0">
      <selection activeCell="I16" sqref="I16"/>
    </sheetView>
  </sheetViews>
  <sheetFormatPr defaultRowHeight="15" x14ac:dyDescent="0.25"/>
  <cols>
    <col min="2" max="2" width="19.140625" bestFit="1" customWidth="1"/>
    <col min="3" max="3" width="14" bestFit="1" customWidth="1"/>
    <col min="5" max="5" width="19.140625" bestFit="1" customWidth="1"/>
    <col min="6" max="6" width="14" bestFit="1" customWidth="1"/>
    <col min="8" max="8" width="11.85546875" bestFit="1" customWidth="1"/>
    <col min="9" max="9" width="17.42578125" bestFit="1" customWidth="1"/>
    <col min="11" max="11" width="13.140625" bestFit="1" customWidth="1"/>
    <col min="12" max="12" width="17.42578125" bestFit="1" customWidth="1"/>
    <col min="13" max="18" width="3" bestFit="1" customWidth="1"/>
    <col min="19" max="19" width="11.28515625" bestFit="1" customWidth="1"/>
  </cols>
  <sheetData>
    <row r="2" spans="2:12" x14ac:dyDescent="0.25">
      <c r="B2" s="12" t="s">
        <v>32</v>
      </c>
      <c r="C2" t="s">
        <v>35</v>
      </c>
      <c r="E2" s="12" t="s">
        <v>32</v>
      </c>
      <c r="F2" t="s">
        <v>37</v>
      </c>
      <c r="K2" s="12" t="s">
        <v>50</v>
      </c>
      <c r="L2" t="s">
        <v>51</v>
      </c>
    </row>
    <row r="4" spans="2:12" x14ac:dyDescent="0.25">
      <c r="B4" s="12" t="s">
        <v>1</v>
      </c>
      <c r="C4" t="s">
        <v>55</v>
      </c>
      <c r="E4" s="12" t="s">
        <v>1</v>
      </c>
      <c r="F4" t="s">
        <v>55</v>
      </c>
      <c r="H4" s="12" t="s">
        <v>2</v>
      </c>
      <c r="I4" t="s">
        <v>54</v>
      </c>
      <c r="K4" s="12" t="s">
        <v>52</v>
      </c>
      <c r="L4" t="s">
        <v>54</v>
      </c>
    </row>
    <row r="5" spans="2:12" x14ac:dyDescent="0.25">
      <c r="B5" s="13" t="s">
        <v>28</v>
      </c>
      <c r="C5" s="24">
        <v>100</v>
      </c>
      <c r="E5" s="13" t="s">
        <v>10</v>
      </c>
      <c r="F5" s="24">
        <v>40</v>
      </c>
      <c r="H5" s="13" t="s">
        <v>13</v>
      </c>
      <c r="I5" s="14">
        <v>18</v>
      </c>
      <c r="K5" s="13" t="s">
        <v>10</v>
      </c>
      <c r="L5" s="14">
        <v>0</v>
      </c>
    </row>
    <row r="6" spans="2:12" x14ac:dyDescent="0.25">
      <c r="B6" s="13" t="s">
        <v>20</v>
      </c>
      <c r="C6" s="24">
        <v>60</v>
      </c>
      <c r="E6" s="13" t="s">
        <v>28</v>
      </c>
      <c r="F6" s="24">
        <v>40</v>
      </c>
      <c r="H6" s="13" t="s">
        <v>29</v>
      </c>
      <c r="I6" s="14">
        <v>60</v>
      </c>
      <c r="K6" s="13" t="s">
        <v>25</v>
      </c>
      <c r="L6" s="14">
        <v>0</v>
      </c>
    </row>
    <row r="7" spans="2:12" x14ac:dyDescent="0.25">
      <c r="B7" s="13" t="s">
        <v>12</v>
      </c>
      <c r="C7" s="24">
        <v>30</v>
      </c>
      <c r="E7" s="13" t="s">
        <v>20</v>
      </c>
      <c r="F7" s="24">
        <v>15</v>
      </c>
      <c r="H7" s="13" t="s">
        <v>7</v>
      </c>
      <c r="I7" s="14">
        <v>95</v>
      </c>
      <c r="K7" s="13" t="s">
        <v>53</v>
      </c>
      <c r="L7" s="14">
        <v>0</v>
      </c>
    </row>
    <row r="8" spans="2:12" x14ac:dyDescent="0.25">
      <c r="B8" s="13" t="s">
        <v>22</v>
      </c>
      <c r="C8" s="24">
        <v>20</v>
      </c>
      <c r="E8" s="13" t="s">
        <v>12</v>
      </c>
      <c r="F8" s="24">
        <v>12</v>
      </c>
      <c r="H8" s="13" t="s">
        <v>17</v>
      </c>
      <c r="I8" s="14">
        <v>35</v>
      </c>
    </row>
    <row r="9" spans="2:12" x14ac:dyDescent="0.25">
      <c r="B9" s="13" t="s">
        <v>6</v>
      </c>
      <c r="C9" s="24">
        <v>100</v>
      </c>
      <c r="E9" s="13" t="s">
        <v>25</v>
      </c>
      <c r="F9" s="24">
        <v>3</v>
      </c>
      <c r="H9" s="13" t="s">
        <v>53</v>
      </c>
      <c r="I9" s="14">
        <v>208</v>
      </c>
    </row>
    <row r="10" spans="2:12" x14ac:dyDescent="0.25">
      <c r="B10" s="13" t="s">
        <v>16</v>
      </c>
      <c r="C10" s="24">
        <v>25</v>
      </c>
      <c r="E10" s="13" t="s">
        <v>6</v>
      </c>
      <c r="F10" s="24">
        <v>50</v>
      </c>
    </row>
    <row r="11" spans="2:12" x14ac:dyDescent="0.25">
      <c r="B11" s="13" t="s">
        <v>53</v>
      </c>
      <c r="C11" s="24">
        <v>335</v>
      </c>
      <c r="E11" s="13" t="s">
        <v>16</v>
      </c>
      <c r="F11" s="24">
        <v>10</v>
      </c>
    </row>
    <row r="12" spans="2:12" x14ac:dyDescent="0.25">
      <c r="E12" s="13" t="s">
        <v>53</v>
      </c>
      <c r="F12" s="24">
        <v>170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591A7B-D888-44ED-AFA3-1D8709D6322A}">
  <dimension ref="I2:P5"/>
  <sheetViews>
    <sheetView topLeftCell="A4" zoomScale="70" zoomScaleNormal="70" workbookViewId="0">
      <selection activeCell="S38" sqref="S38"/>
    </sheetView>
  </sheetViews>
  <sheetFormatPr defaultRowHeight="15" x14ac:dyDescent="0.25"/>
  <sheetData>
    <row r="2" spans="9:16" ht="26.25" x14ac:dyDescent="0.4">
      <c r="J2" s="17"/>
      <c r="K2" s="17"/>
      <c r="L2" s="19" t="s">
        <v>56</v>
      </c>
      <c r="M2" s="18"/>
      <c r="N2" s="18"/>
      <c r="O2" s="16"/>
      <c r="P2" s="16"/>
    </row>
    <row r="3" spans="9:16" ht="15" customHeight="1" x14ac:dyDescent="0.25">
      <c r="L3" s="16"/>
      <c r="M3" s="16"/>
      <c r="N3" s="16"/>
      <c r="O3" s="16"/>
      <c r="P3" s="16"/>
    </row>
    <row r="4" spans="9:16" ht="15" customHeight="1" x14ac:dyDescent="0.25">
      <c r="I4" s="23" t="s">
        <v>57</v>
      </c>
      <c r="J4" s="23"/>
      <c r="K4" s="23"/>
    </row>
    <row r="5" spans="9:16" x14ac:dyDescent="0.25">
      <c r="N5" s="15"/>
    </row>
  </sheetData>
  <mergeCells count="1">
    <mergeCell ref="I4:K4"/>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Data Barang</vt:lpstr>
      <vt:lpstr>Transaksi Stok</vt:lpstr>
      <vt:lpstr>Rekap Stok</vt:lpstr>
      <vt:lpstr>Detail1</vt:lpstr>
      <vt:lpstr>Pivot Tabel</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Jujun Junaedi</dc:creator>
  <cp:lastModifiedBy>Jujun Junaedi</cp:lastModifiedBy>
  <dcterms:created xsi:type="dcterms:W3CDTF">2025-12-01T00:31:48Z</dcterms:created>
  <dcterms:modified xsi:type="dcterms:W3CDTF">2025-12-01T07:51:31Z</dcterms:modified>
</cp:coreProperties>
</file>