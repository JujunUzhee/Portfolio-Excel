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F536B515-8116-48A5-8798-E64109654384}" xr6:coauthVersionLast="47" xr6:coauthVersionMax="47" xr10:uidLastSave="{00000000-0000-0000-0000-000000000000}"/>
  <bookViews>
    <workbookView xWindow="-120" yWindow="-120" windowWidth="21840" windowHeight="13140" xr2:uid="{83AB15C9-0E86-4B4D-BC2E-21F3394A6809}"/>
  </bookViews>
  <sheets>
    <sheet name="Data-Absensi" sheetId="1" r:id="rId1"/>
    <sheet name="Rekap_Pivot" sheetId="4" r:id="rId2"/>
    <sheet name="Dashboard" sheetId="3" r:id="rId3"/>
  </sheets>
  <definedNames>
    <definedName name="_xlcn.WorksheetConnection_Rekap_AbsensiKaryawan.xlsxTable21" hidden="1">Table2[]</definedName>
    <definedName name="Slicer_Nama">#N/A</definedName>
    <definedName name="Slicer_Status">#N/A</definedName>
    <definedName name="Slicer_Tanggal">#N/A</definedName>
    <definedName name="Slicer_Total_Jam_Kerja">#N/A</definedName>
  </definedNames>
  <calcPr calcId="191029"/>
  <pivotCaches>
    <pivotCache cacheId="0" r:id="rId4"/>
    <pivotCache cacheId="9" r:id="rId5"/>
    <pivotCache cacheId="7"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Rekap_Absensi Karyawan.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1" l="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6D7D5E-E3A1-4C77-B237-B75C433770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3D0DFD-AEC2-41AD-A626-E8EE7E31CCEB}" name="WorksheetConnection_Rekap_Absensi Karyawan.xlsx!Table2" type="102" refreshedVersion="8" minRefreshableVersion="5">
    <extLst>
      <ext xmlns:x15="http://schemas.microsoft.com/office/spreadsheetml/2010/11/main" uri="{DE250136-89BD-433C-8126-D09CA5730AF9}">
        <x15:connection id="Table2" autoDelete="1">
          <x15:rangePr sourceName="_xlcn.WorksheetConnection_Rekap_AbsensiKaryawan.xlsxTable21"/>
        </x15:connection>
      </ext>
    </extLst>
  </connection>
</connections>
</file>

<file path=xl/sharedStrings.xml><?xml version="1.0" encoding="utf-8"?>
<sst xmlns="http://schemas.openxmlformats.org/spreadsheetml/2006/main" count="1665" uniqueCount="76">
  <si>
    <t>Tanggal</t>
  </si>
  <si>
    <t>Status</t>
  </si>
  <si>
    <t>Jam Masuk</t>
  </si>
  <si>
    <t>Jam Pulang</t>
  </si>
  <si>
    <t>Andi</t>
  </si>
  <si>
    <t>Hadir</t>
  </si>
  <si>
    <t>Budi</t>
  </si>
  <si>
    <t>Izin</t>
  </si>
  <si>
    <t>-</t>
  </si>
  <si>
    <t>Dewi</t>
  </si>
  <si>
    <t>Sakit</t>
  </si>
  <si>
    <t>Total Jam Kerja</t>
  </si>
  <si>
    <t>Grand Total</t>
  </si>
  <si>
    <t>Column Labels</t>
  </si>
  <si>
    <t>Sum of Total Jam Kerja</t>
  </si>
  <si>
    <t>Count of Status</t>
  </si>
  <si>
    <t>Rekap Kehadiran Per Karyawan</t>
  </si>
  <si>
    <t>Rekap Total Jam Kerja per Karyawan</t>
  </si>
  <si>
    <t>Dashboard Absensi Karyawan</t>
  </si>
  <si>
    <t>PT SEJAHTERA BERSAMA</t>
  </si>
  <si>
    <t xml:space="preserve">DATA ABSENSI KARYAWAN </t>
  </si>
  <si>
    <t>Per Bulan</t>
  </si>
  <si>
    <t>Januari</t>
  </si>
  <si>
    <t>ID</t>
  </si>
  <si>
    <t>Nama</t>
  </si>
  <si>
    <t>K001</t>
  </si>
  <si>
    <t>K002</t>
  </si>
  <si>
    <t>K003</t>
  </si>
  <si>
    <t>Citra</t>
  </si>
  <si>
    <t>K004</t>
  </si>
  <si>
    <t>K005</t>
  </si>
  <si>
    <t>Eka</t>
  </si>
  <si>
    <t>K006</t>
  </si>
  <si>
    <t>Fajar</t>
  </si>
  <si>
    <t>K007</t>
  </si>
  <si>
    <t>Gita</t>
  </si>
  <si>
    <t>K008</t>
  </si>
  <si>
    <t>Hadi</t>
  </si>
  <si>
    <t>K009</t>
  </si>
  <si>
    <t>Intan</t>
  </si>
  <si>
    <t>K010</t>
  </si>
  <si>
    <t>Joko</t>
  </si>
  <si>
    <t>Alfa</t>
  </si>
  <si>
    <t>2025-01-31</t>
  </si>
  <si>
    <t>Terlambat</t>
  </si>
  <si>
    <t>2025-01-30</t>
  </si>
  <si>
    <t>2025-01-29</t>
  </si>
  <si>
    <t>2025-01-28</t>
  </si>
  <si>
    <t>2025-01-27</t>
  </si>
  <si>
    <t>2025-01-26</t>
  </si>
  <si>
    <t>2025-01-25</t>
  </si>
  <si>
    <t>2025-01-24</t>
  </si>
  <si>
    <t>2025-01-23</t>
  </si>
  <si>
    <t>2025-01-22</t>
  </si>
  <si>
    <t>2025-01-21</t>
  </si>
  <si>
    <t>2025-01-20</t>
  </si>
  <si>
    <t>2025-01-19</t>
  </si>
  <si>
    <t>2025-01-18</t>
  </si>
  <si>
    <t>2025-01-17</t>
  </si>
  <si>
    <t>2025-01-16</t>
  </si>
  <si>
    <t>2025-01-15</t>
  </si>
  <si>
    <t>2025-01-14</t>
  </si>
  <si>
    <t>2025-01-13</t>
  </si>
  <si>
    <t>2025-01-12</t>
  </si>
  <si>
    <t>2025-01-11</t>
  </si>
  <si>
    <t>2025-01-10</t>
  </si>
  <si>
    <t>2025-01-09</t>
  </si>
  <si>
    <t>2025-01-08</t>
  </si>
  <si>
    <t>2025-01-07</t>
  </si>
  <si>
    <t>2025-01-06</t>
  </si>
  <si>
    <t>2025-01-05</t>
  </si>
  <si>
    <t>2025-01-04</t>
  </si>
  <si>
    <t>2025-01-03</t>
  </si>
  <si>
    <t>2025-01-02</t>
  </si>
  <si>
    <t>2025-01-01</t>
  </si>
  <si>
    <t>REKAP HARIAN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</si>
</sst>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h]:mm"/>
    <numFmt numFmtId="165" formatCode="[$-F400]h:mm:ss\ AM/PM"/>
  </numFmts>
  <fonts count="9" x14ac:knownFonts="1">
    <font>
      <sz val="11"/>
      <color theme="1"/>
      <name val="Calibri"/>
      <family val="2"/>
      <scheme val="minor"/>
    </font>
    <font>
      <sz val="8"/>
      <name val="Calibri"/>
      <family val="2"/>
      <scheme val="minor"/>
    </font>
    <font>
      <sz val="14"/>
      <color theme="4" tint="-0.249977111117893"/>
      <name val="Calibri"/>
      <family val="2"/>
      <scheme val="minor"/>
    </font>
    <font>
      <b/>
      <sz val="16"/>
      <color theme="4" tint="-0.249977111117893"/>
      <name val="Calibri"/>
      <family val="2"/>
      <scheme val="minor"/>
    </font>
    <font>
      <b/>
      <i/>
      <sz val="12"/>
      <color theme="1"/>
      <name val="Calibri"/>
      <family val="2"/>
      <scheme val="minor"/>
    </font>
    <font>
      <i/>
      <sz val="12"/>
      <color theme="1"/>
      <name val="Calibri"/>
      <family val="2"/>
      <scheme val="minor"/>
    </font>
    <font>
      <sz val="11"/>
      <color theme="4" tint="-0.249977111117893"/>
      <name val="Calibri"/>
      <family val="2"/>
      <scheme val="minor"/>
    </font>
    <font>
      <sz val="18"/>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1" fontId="8" fillId="0" borderId="0" applyFont="0" applyFill="0" applyBorder="0" applyAlignment="0" applyProtection="0"/>
  </cellStyleXfs>
  <cellXfs count="28">
    <xf numFmtId="0" fontId="0" fillId="0" borderId="0" xfId="0"/>
    <xf numFmtId="0" fontId="0" fillId="0" borderId="0" xfId="0" pivotButton="1"/>
    <xf numFmtId="0" fontId="4" fillId="2" borderId="0" xfId="0" applyFont="1" applyFill="1"/>
    <xf numFmtId="14" fontId="5" fillId="0" borderId="0" xfId="0" applyNumberFormat="1" applyFont="1"/>
    <xf numFmtId="20" fontId="0" fillId="0" borderId="4" xfId="0" applyNumberFormat="1" applyBorder="1" applyAlignment="1">
      <alignment horizontal="center" vertical="center"/>
    </xf>
    <xf numFmtId="20" fontId="0" fillId="0" borderId="5" xfId="0" applyNumberFormat="1" applyBorder="1" applyAlignment="1">
      <alignment horizontal="center" vertical="center"/>
    </xf>
    <xf numFmtId="20" fontId="0" fillId="0" borderId="6" xfId="0" applyNumberFormat="1" applyBorder="1" applyAlignment="1">
      <alignment horizontal="center" vertical="center"/>
    </xf>
    <xf numFmtId="164" fontId="0" fillId="0" borderId="3" xfId="0" applyNumberFormat="1" applyBorder="1" applyAlignment="1">
      <alignment horizontal="center" vertical="center"/>
    </xf>
    <xf numFmtId="164" fontId="0" fillId="0" borderId="9" xfId="0" applyNumberFormat="1" applyBorder="1" applyAlignment="1">
      <alignment horizontal="center" vertical="center"/>
    </xf>
    <xf numFmtId="164" fontId="0" fillId="0" borderId="0" xfId="0" applyNumberFormat="1"/>
    <xf numFmtId="164" fontId="0" fillId="0" borderId="0" xfId="0" applyNumberFormat="1" applyAlignment="1">
      <alignment horizontal="left"/>
    </xf>
    <xf numFmtId="164" fontId="0" fillId="0" borderId="0" xfId="0" applyNumberFormat="1" applyAlignment="1">
      <alignment horizontal="center"/>
    </xf>
    <xf numFmtId="0" fontId="0" fillId="0" borderId="0" xfId="0" applyAlignment="1">
      <alignment horizontal="center"/>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5" fontId="0" fillId="0" borderId="0" xfId="0" applyNumberFormat="1"/>
    <xf numFmtId="14" fontId="0" fillId="0" borderId="2" xfId="0" applyNumberFormat="1" applyBorder="1" applyAlignment="1">
      <alignment horizontal="center" vertical="center"/>
    </xf>
    <xf numFmtId="14" fontId="0" fillId="0" borderId="7" xfId="0" applyNumberFormat="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0" xfId="0" pivotButton="1" applyAlignment="1">
      <alignment horizontal="center"/>
    </xf>
    <xf numFmtId="0" fontId="3" fillId="2" borderId="0" xfId="0" applyFont="1" applyFill="1" applyAlignment="1">
      <alignment horizontal="center" vertical="center"/>
    </xf>
    <xf numFmtId="0" fontId="2"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2" fillId="2" borderId="0" xfId="0" applyFont="1" applyFill="1" applyAlignment="1">
      <alignment vertical="center"/>
    </xf>
    <xf numFmtId="0" fontId="0" fillId="0" borderId="0" xfId="0" applyNumberFormat="1" applyAlignment="1">
      <alignment horizontal="center"/>
    </xf>
    <xf numFmtId="164" fontId="0" fillId="0" borderId="0" xfId="1" applyNumberFormat="1" applyFont="1"/>
  </cellXfs>
  <cellStyles count="2">
    <cellStyle name="Comma [0]" xfId="1" builtinId="6"/>
    <cellStyle name="Normal" xfId="0" builtinId="0"/>
  </cellStyles>
  <dxfs count="72">
    <dxf>
      <numFmt numFmtId="26" formatCode="hh:mm:ss"/>
    </dxf>
    <dxf>
      <numFmt numFmtId="164" formatCode="[h]:mm"/>
    </dxf>
    <dxf>
      <numFmt numFmtId="164" formatCode="[h]:mm"/>
    </dxf>
    <dxf>
      <alignment horizontal="center"/>
    </dxf>
    <dxf>
      <alignment horizontal="center"/>
    </dxf>
    <dxf>
      <numFmt numFmtId="164" formatCode="[h]:mm"/>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h]:m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h]:m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h]:m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164" formatCode="[h]:mm"/>
      <alignment horizontal="center" vertical="center" textRotation="0" wrapText="0" indent="0" justifyLastLine="0" shrinkToFit="0" readingOrder="0"/>
    </dxf>
    <dxf>
      <numFmt numFmtId="25" formatCode="hh:mm"/>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6" formatCode="hh:mm:ss"/>
    </dxf>
    <dxf>
      <numFmt numFmtId="164" formatCode="[h]:mm"/>
    </dxf>
    <dxf>
      <numFmt numFmtId="164" formatCode="[h]:mm"/>
    </dxf>
    <dxf>
      <alignment horizontal="center"/>
    </dxf>
    <dxf>
      <alignment horizontal="center"/>
    </dxf>
    <dxf>
      <numFmt numFmtId="26" formatCode="hh:mm:ss"/>
    </dxf>
    <dxf>
      <numFmt numFmtId="164" formatCode="[h]:mm"/>
    </dxf>
    <dxf>
      <numFmt numFmtId="164" formatCode="[h]:mm"/>
    </dxf>
    <dxf>
      <alignment horizontal="center"/>
    </dxf>
    <dxf>
      <alignment horizontal="center"/>
    </dxf>
    <dxf>
      <numFmt numFmtId="26" formatCode="hh:mm:ss"/>
    </dxf>
    <dxf>
      <numFmt numFmtId="164" formatCode="[h]:mm"/>
    </dxf>
    <dxf>
      <numFmt numFmtId="164" formatCode="[h]:mm"/>
    </dxf>
    <dxf>
      <alignment horizontal="center"/>
    </dxf>
    <dxf>
      <alignment horizontal="center"/>
    </dxf>
    <dxf>
      <numFmt numFmtId="26" formatCode="hh:mm:ss"/>
    </dxf>
    <dxf>
      <numFmt numFmtId="164" formatCode="[h]:mm"/>
    </dxf>
    <dxf>
      <numFmt numFmtId="164" formatCode="[h]:mm"/>
    </dxf>
    <dxf>
      <alignment horizontal="center"/>
    </dxf>
    <dxf>
      <alignment horizontal="center"/>
    </dxf>
    <dxf>
      <numFmt numFmtId="26" formatCode="hh:mm:ss"/>
    </dxf>
    <dxf>
      <numFmt numFmtId="164" formatCode="[h]:mm"/>
    </dxf>
    <dxf>
      <numFmt numFmtId="164" formatCode="[h]:mm"/>
    </dxf>
    <dxf>
      <alignment horizontal="center"/>
    </dxf>
    <dxf>
      <alignment horizontal="center"/>
    </dxf>
    <dxf>
      <numFmt numFmtId="26" formatCode="hh:mm:ss"/>
    </dxf>
    <dxf>
      <numFmt numFmtId="164" formatCode="[h]:mm"/>
    </dxf>
    <dxf>
      <numFmt numFmtId="164" formatCode="[h]:mm"/>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dxf>
    <dxf>
      <alignment horizontal="center"/>
    </dxf>
    <dxf>
      <alignment horizontal="center"/>
    </dxf>
    <dxf>
      <alignment horizontal="center"/>
    </dxf>
    <dxf>
      <numFmt numFmtId="26" formatCode="hh:mm:ss"/>
    </dxf>
    <dxf>
      <numFmt numFmtId="164" formatCode="[h]:mm"/>
    </dxf>
    <dxf>
      <numFmt numFmtId="164" formatCode="[h]:mm"/>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[Rekap_Absensi Karyawan.xlsx]Rekap_Pivot!PivotTable7</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Rekap_Pivot!$B$4:$B$5</c:f>
              <c:strCache>
                <c:ptCount val="1"/>
                <c:pt idx="0">
                  <c:v>Terlambat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B79-49CF-BC06-2B91A04A5EF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B79-49CF-BC06-2B91A04A5EF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B79-49CF-BC06-2B91A04A5EF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B79-49CF-BC06-2B91A04A5E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Rekap_Pivot!$A$6:$A$7</c:f>
              <c:strCache>
                <c:ptCount val="1"/>
                <c:pt idx="0">
                  <c:v>Citra</c:v>
                </c:pt>
              </c:strCache>
            </c:strRef>
          </c:cat>
          <c:val>
            <c:numRef>
              <c:f>Rekap_Pivot!$B$6:$B$7</c:f>
              <c:numCache>
                <c:formatCode>General</c:formatCode>
                <c:ptCount val="1"/>
                <c:pt idx="0">
                  <c:v>1</c:v>
                </c:pt>
              </c:numCache>
            </c:numRef>
          </c:val>
          <c:extLst>
            <c:ext xmlns:c16="http://schemas.microsoft.com/office/drawing/2014/chart" uri="{C3380CC4-5D6E-409C-BE32-E72D297353CC}">
              <c16:uniqueId val="{00000062-7708-43A7-87CC-D371EEB48C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[Rekap_Absensi Karyawan.xlsx]Rekap_Pivot!PivotTable1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Rekap_Pivot!$N$4:$N$5</c:f>
              <c:strCache>
                <c:ptCount val="1"/>
                <c:pt idx="0">
                  <c:v>Terlambat</c:v>
                </c:pt>
              </c:strCache>
            </c:strRef>
          </c:tx>
          <c:spPr>
            <a:solidFill>
              <a:schemeClr val="accent1"/>
            </a:solidFill>
            <a:ln>
              <a:noFill/>
            </a:ln>
            <a:effectLst/>
            <a:sp3d/>
          </c:spPr>
          <c:invertIfNegative val="0"/>
          <c:cat>
            <c:strRef>
              <c:f>Rekap_Pivot!$M$6:$M$7</c:f>
              <c:strCache>
                <c:ptCount val="1"/>
                <c:pt idx="0">
                  <c:v>2025-01-03</c:v>
                </c:pt>
              </c:strCache>
            </c:strRef>
          </c:cat>
          <c:val>
            <c:numRef>
              <c:f>Rekap_Pivot!$N$6:$N$7</c:f>
              <c:numCache>
                <c:formatCode>General</c:formatCode>
                <c:ptCount val="1"/>
                <c:pt idx="0">
                  <c:v>1</c:v>
                </c:pt>
              </c:numCache>
            </c:numRef>
          </c:val>
          <c:extLst>
            <c:ext xmlns:c16="http://schemas.microsoft.com/office/drawing/2014/chart" uri="{C3380CC4-5D6E-409C-BE32-E72D297353CC}">
              <c16:uniqueId val="{00000009-7CA8-442F-AE78-ECB014D13EE8}"/>
            </c:ext>
          </c:extLst>
        </c:ser>
        <c:dLbls>
          <c:showLegendKey val="0"/>
          <c:showVal val="0"/>
          <c:showCatName val="0"/>
          <c:showSerName val="0"/>
          <c:showPercent val="0"/>
          <c:showBubbleSize val="0"/>
        </c:dLbls>
        <c:gapWidth val="150"/>
        <c:shape val="box"/>
        <c:axId val="881788079"/>
        <c:axId val="881782799"/>
        <c:axId val="0"/>
      </c:bar3DChart>
      <c:catAx>
        <c:axId val="88178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82799"/>
        <c:crosses val="autoZero"/>
        <c:auto val="1"/>
        <c:lblAlgn val="ctr"/>
        <c:lblOffset val="100"/>
        <c:noMultiLvlLbl val="0"/>
      </c:catAx>
      <c:valAx>
        <c:axId val="88178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8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[Rekap_Absensi Karyawan.xlsx]Rekap_Pivot!PivotTable6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Rekap_Pivot!$K$4</c:f>
              <c:strCache>
                <c:ptCount val="1"/>
                <c:pt idx="0">
                  <c:v>Total</c:v>
                </c:pt>
              </c:strCache>
            </c:strRef>
          </c:tx>
          <c:spPr>
            <a:solidFill>
              <a:schemeClr val="accent1"/>
            </a:solidFill>
            <a:ln>
              <a:noFill/>
            </a:ln>
            <a:effectLst/>
          </c:spPr>
          <c:invertIfNegative val="0"/>
          <c:cat>
            <c:strRef>
              <c:f>Rekap_Pivot!$J$5:$J$14</c:f>
              <c:strCache>
                <c:ptCount val="10"/>
                <c:pt idx="0">
                  <c:v>Andi</c:v>
                </c:pt>
                <c:pt idx="1">
                  <c:v>Budi</c:v>
                </c:pt>
                <c:pt idx="2">
                  <c:v>Citra</c:v>
                </c:pt>
                <c:pt idx="3">
                  <c:v>Dewi</c:v>
                </c:pt>
                <c:pt idx="4">
                  <c:v>Eka</c:v>
                </c:pt>
                <c:pt idx="5">
                  <c:v>Fajar</c:v>
                </c:pt>
                <c:pt idx="6">
                  <c:v>Gita</c:v>
                </c:pt>
                <c:pt idx="7">
                  <c:v>Hadi</c:v>
                </c:pt>
                <c:pt idx="8">
                  <c:v>Intan</c:v>
                </c:pt>
                <c:pt idx="9">
                  <c:v>Joko</c:v>
                </c:pt>
              </c:strCache>
            </c:strRef>
          </c:cat>
          <c:val>
            <c:numRef>
              <c:f>Rekap_Pivot!$K$5:$K$14</c:f>
              <c:numCache>
                <c:formatCode>[h]:mm</c:formatCode>
                <c:ptCount val="10"/>
                <c:pt idx="0">
                  <c:v>3.7895833333333333</c:v>
                </c:pt>
                <c:pt idx="1">
                  <c:v>5.1944444444444446</c:v>
                </c:pt>
                <c:pt idx="2">
                  <c:v>5.3395833333333336</c:v>
                </c:pt>
                <c:pt idx="3">
                  <c:v>5.584722222222223</c:v>
                </c:pt>
                <c:pt idx="4">
                  <c:v>3.7881944444444446</c:v>
                </c:pt>
                <c:pt idx="5">
                  <c:v>3.3972222222222221</c:v>
                </c:pt>
                <c:pt idx="6">
                  <c:v>3.8013888888888889</c:v>
                </c:pt>
                <c:pt idx="7">
                  <c:v>4.9270833333333321</c:v>
                </c:pt>
                <c:pt idx="8">
                  <c:v>4.5951388888888891</c:v>
                </c:pt>
                <c:pt idx="9">
                  <c:v>4.1319444444444455</c:v>
                </c:pt>
              </c:numCache>
            </c:numRef>
          </c:val>
          <c:extLst>
            <c:ext xmlns:c16="http://schemas.microsoft.com/office/drawing/2014/chart" uri="{C3380CC4-5D6E-409C-BE32-E72D297353CC}">
              <c16:uniqueId val="{00000000-B52F-4680-8DDE-70D6C7A3B2C9}"/>
            </c:ext>
          </c:extLst>
        </c:ser>
        <c:dLbls>
          <c:showLegendKey val="0"/>
          <c:showVal val="0"/>
          <c:showCatName val="0"/>
          <c:showSerName val="0"/>
          <c:showPercent val="0"/>
          <c:showBubbleSize val="0"/>
        </c:dLbls>
        <c:gapWidth val="150"/>
        <c:overlap val="100"/>
        <c:axId val="1824803727"/>
        <c:axId val="1824795087"/>
      </c:barChart>
      <c:catAx>
        <c:axId val="182480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95087"/>
        <c:crosses val="autoZero"/>
        <c:auto val="1"/>
        <c:lblAlgn val="ctr"/>
        <c:lblOffset val="100"/>
        <c:noMultiLvlLbl val="0"/>
      </c:catAx>
      <c:valAx>
        <c:axId val="1824795087"/>
        <c:scaling>
          <c:orientation val="minMax"/>
        </c:scaling>
        <c:delete val="0"/>
        <c:axPos val="l"/>
        <c:majorGridlines>
          <c:spPr>
            <a:ln w="9525" cap="flat" cmpd="sng" algn="ctr">
              <a:solidFill>
                <a:schemeClr val="tx1">
                  <a:lumMod val="15000"/>
                  <a:lumOff val="85000"/>
                </a:schemeClr>
              </a:solidFill>
              <a:round/>
            </a:ln>
            <a:effectLst/>
          </c:spPr>
        </c:majorGridlines>
        <c:numFmt formatCode="[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80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366031</xdr:colOff>
      <xdr:row>4</xdr:row>
      <xdr:rowOff>122466</xdr:rowOff>
    </xdr:from>
    <xdr:to>
      <xdr:col>7</xdr:col>
      <xdr:colOff>153760</xdr:colOff>
      <xdr:row>13</xdr:row>
      <xdr:rowOff>68036</xdr:rowOff>
    </xdr:to>
    <mc:AlternateContent xmlns:mc="http://schemas.openxmlformats.org/markup-compatibility/2006" xmlns:a14="http://schemas.microsoft.com/office/drawing/2010/main">
      <mc:Choice Requires="a14">
        <xdr:graphicFrame macro="">
          <xdr:nvGraphicFramePr>
            <xdr:cNvPr id="7" name="Nama">
              <a:extLst>
                <a:ext uri="{FF2B5EF4-FFF2-40B4-BE49-F238E27FC236}">
                  <a16:creationId xmlns:a16="http://schemas.microsoft.com/office/drawing/2014/main" id="{C6C8D272-4920-E2F7-8B59-6DE643CF5322}"/>
                </a:ext>
              </a:extLst>
            </xdr:cNvPr>
            <xdr:cNvGraphicFramePr/>
          </xdr:nvGraphicFramePr>
          <xdr:xfrm>
            <a:off x="0" y="0"/>
            <a:ext cx="0" cy="0"/>
          </xdr:xfrm>
          <a:graphic>
            <a:graphicData uri="http://schemas.microsoft.com/office/drawing/2010/slicer">
              <sle:slicer xmlns:sle="http://schemas.microsoft.com/office/drawing/2010/slicer" name="Nama"/>
            </a:graphicData>
          </a:graphic>
        </xdr:graphicFrame>
      </mc:Choice>
      <mc:Fallback xmlns="">
        <xdr:sp macro="" textlink="">
          <xdr:nvSpPr>
            <xdr:cNvPr id="0" name=""/>
            <xdr:cNvSpPr>
              <a:spLocks noTextEdit="1"/>
            </xdr:cNvSpPr>
          </xdr:nvSpPr>
          <xdr:spPr>
            <a:xfrm>
              <a:off x="3400424" y="1047752"/>
              <a:ext cx="1828800" cy="16600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502103</xdr:colOff>
      <xdr:row>4</xdr:row>
      <xdr:rowOff>122462</xdr:rowOff>
    </xdr:from>
    <xdr:to>
      <xdr:col>13</xdr:col>
      <xdr:colOff>493939</xdr:colOff>
      <xdr:row>13</xdr:row>
      <xdr:rowOff>68033</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94244926-EFA3-59B5-9747-00AAAE3BBEF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414532" y="1047748"/>
              <a:ext cx="1828800" cy="16600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311606</xdr:colOff>
      <xdr:row>4</xdr:row>
      <xdr:rowOff>108858</xdr:rowOff>
    </xdr:from>
    <xdr:to>
      <xdr:col>10</xdr:col>
      <xdr:colOff>303441</xdr:colOff>
      <xdr:row>13</xdr:row>
      <xdr:rowOff>68036</xdr:rowOff>
    </xdr:to>
    <mc:AlternateContent xmlns:mc="http://schemas.openxmlformats.org/markup-compatibility/2006" xmlns:a14="http://schemas.microsoft.com/office/drawing/2010/main">
      <mc:Choice Requires="a14">
        <xdr:graphicFrame macro="">
          <xdr:nvGraphicFramePr>
            <xdr:cNvPr id="9" name="Tanggal">
              <a:extLst>
                <a:ext uri="{FF2B5EF4-FFF2-40B4-BE49-F238E27FC236}">
                  <a16:creationId xmlns:a16="http://schemas.microsoft.com/office/drawing/2014/main" id="{49EE513D-0C59-E7FA-C2B8-F11A8CD030B4}"/>
                </a:ext>
              </a:extLst>
            </xdr:cNvPr>
            <xdr:cNvGraphicFramePr/>
          </xdr:nvGraphicFramePr>
          <xdr:xfrm>
            <a:off x="0" y="0"/>
            <a:ext cx="0" cy="0"/>
          </xdr:xfrm>
          <a:graphic>
            <a:graphicData uri="http://schemas.microsoft.com/office/drawing/2010/slicer">
              <sle:slicer xmlns:sle="http://schemas.microsoft.com/office/drawing/2010/slicer" name="Tanggal"/>
            </a:graphicData>
          </a:graphic>
        </xdr:graphicFrame>
      </mc:Choice>
      <mc:Fallback xmlns="">
        <xdr:sp macro="" textlink="">
          <xdr:nvSpPr>
            <xdr:cNvPr id="0" name=""/>
            <xdr:cNvSpPr>
              <a:spLocks noTextEdit="1"/>
            </xdr:cNvSpPr>
          </xdr:nvSpPr>
          <xdr:spPr>
            <a:xfrm>
              <a:off x="5387070" y="1034144"/>
              <a:ext cx="1828800" cy="16736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95250</xdr:colOff>
      <xdr:row>14</xdr:row>
      <xdr:rowOff>122463</xdr:rowOff>
    </xdr:from>
    <xdr:to>
      <xdr:col>18</xdr:col>
      <xdr:colOff>381000</xdr:colOff>
      <xdr:row>32</xdr:row>
      <xdr:rowOff>68034</xdr:rowOff>
    </xdr:to>
    <xdr:graphicFrame macro="">
      <xdr:nvGraphicFramePr>
        <xdr:cNvPr id="2" name="Chart 1">
          <a:extLst>
            <a:ext uri="{FF2B5EF4-FFF2-40B4-BE49-F238E27FC236}">
              <a16:creationId xmlns:a16="http://schemas.microsoft.com/office/drawing/2014/main" id="{014F959F-2856-4CAC-B995-39F32A518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258537</xdr:colOff>
      <xdr:row>14</xdr:row>
      <xdr:rowOff>108858</xdr:rowOff>
    </xdr:from>
    <xdr:to>
      <xdr:col>10</xdr:col>
      <xdr:colOff>571500</xdr:colOff>
      <xdr:row>32</xdr:row>
      <xdr:rowOff>81644</xdr:rowOff>
    </xdr:to>
    <xdr:graphicFrame macro="">
      <xdr:nvGraphicFramePr>
        <xdr:cNvPr id="3" name="Chart 2">
          <a:extLst>
            <a:ext uri="{FF2B5EF4-FFF2-40B4-BE49-F238E27FC236}">
              <a16:creationId xmlns:a16="http://schemas.microsoft.com/office/drawing/2014/main" id="{84D4AAAC-D8D0-47B8-A527-E6E7FB003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610959</xdr:colOff>
      <xdr:row>14</xdr:row>
      <xdr:rowOff>95250</xdr:rowOff>
    </xdr:from>
    <xdr:to>
      <xdr:col>26</xdr:col>
      <xdr:colOff>284388</xdr:colOff>
      <xdr:row>32</xdr:row>
      <xdr:rowOff>54428</xdr:rowOff>
    </xdr:to>
    <xdr:graphicFrame macro="">
      <xdr:nvGraphicFramePr>
        <xdr:cNvPr id="11" name="Chart 10">
          <a:extLst>
            <a:ext uri="{FF2B5EF4-FFF2-40B4-BE49-F238E27FC236}">
              <a16:creationId xmlns:a16="http://schemas.microsoft.com/office/drawing/2014/main" id="{BCAD751E-C158-4734-8763-A3DF5617D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610960</xdr:colOff>
      <xdr:row>4</xdr:row>
      <xdr:rowOff>95250</xdr:rowOff>
    </xdr:from>
    <xdr:to>
      <xdr:col>17</xdr:col>
      <xdr:colOff>217714</xdr:colOff>
      <xdr:row>13</xdr:row>
      <xdr:rowOff>68035</xdr:rowOff>
    </xdr:to>
    <mc:AlternateContent xmlns:mc="http://schemas.openxmlformats.org/markup-compatibility/2006">
      <mc:Choice xmlns:a14="http://schemas.microsoft.com/office/drawing/2010/main" Requires="a14">
        <xdr:graphicFrame macro="">
          <xdr:nvGraphicFramePr>
            <xdr:cNvPr id="4" name="Total Jam Kerja">
              <a:extLst>
                <a:ext uri="{FF2B5EF4-FFF2-40B4-BE49-F238E27FC236}">
                  <a16:creationId xmlns:a16="http://schemas.microsoft.com/office/drawing/2014/main" id="{FDD55D16-26A9-6C1B-FA13-6DD799A4413E}"/>
                </a:ext>
              </a:extLst>
            </xdr:cNvPr>
            <xdr:cNvGraphicFramePr/>
          </xdr:nvGraphicFramePr>
          <xdr:xfrm>
            <a:off x="0" y="0"/>
            <a:ext cx="0" cy="0"/>
          </xdr:xfrm>
          <a:graphic>
            <a:graphicData uri="http://schemas.microsoft.com/office/drawing/2010/slicer">
              <sle:slicer xmlns:sle="http://schemas.microsoft.com/office/drawing/2010/slicer" name="Total Jam Kerja"/>
            </a:graphicData>
          </a:graphic>
        </xdr:graphicFrame>
      </mc:Choice>
      <mc:Fallback>
        <xdr:sp macro="" textlink="">
          <xdr:nvSpPr>
            <xdr:cNvPr id="0" name=""/>
            <xdr:cNvSpPr>
              <a:spLocks noTextEdit="1"/>
            </xdr:cNvSpPr>
          </xdr:nvSpPr>
          <xdr:spPr>
            <a:xfrm>
              <a:off x="9360353" y="1020536"/>
              <a:ext cx="2056040" cy="16872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jun Junaedi" refreshedDate="45991.652240046293" createdVersion="8" refreshedVersion="8" minRefreshableVersion="3" recordCount="310" xr:uid="{7429C21C-01A1-4711-A669-9D7A798D4A30}">
  <cacheSource type="worksheet">
    <worksheetSource name="Table2"/>
  </cacheSource>
  <cacheFields count="7">
    <cacheField name="Tanggal" numFmtId="14">
      <sharedItems/>
    </cacheField>
    <cacheField name="ID" numFmtId="164">
      <sharedItems/>
    </cacheField>
    <cacheField name="Nama" numFmtId="0">
      <sharedItems count="10">
        <s v="Andi"/>
        <s v="Budi"/>
        <s v="Citra"/>
        <s v="Dewi"/>
        <s v="Eka"/>
        <s v="Fajar"/>
        <s v="Gita"/>
        <s v="Hadi"/>
        <s v="Intan"/>
        <s v="Joko"/>
      </sharedItems>
    </cacheField>
    <cacheField name="Jam Masuk" numFmtId="164">
      <sharedItems containsDate="1" containsMixedTypes="1" minDate="1899-12-30T08:00:00" maxDate="1899-12-30T08:59:00" count="113">
        <s v="-"/>
        <d v="1899-12-30T08:58:00"/>
        <d v="1899-12-30T08:34:00"/>
        <d v="1899-12-30T08:24:00"/>
        <d v="1899-12-30T08:14:00"/>
        <d v="1899-12-30T08:37:00"/>
        <d v="1899-12-30T08:18:00"/>
        <d v="1899-12-30T08:10:00"/>
        <d v="1899-12-30T08:31:00"/>
        <d v="1899-12-30T08:33:00"/>
        <d v="1899-12-30T08:15:00"/>
        <d v="1899-12-30T08:51:00"/>
        <d v="1899-12-30T08:36:00"/>
        <d v="1899-12-30T08:16:00"/>
        <d v="1899-12-30T08:29:00"/>
        <d v="1899-12-30T08:49:00"/>
        <d v="1899-12-30T08:48:00"/>
        <d v="1899-12-30T08:04:00"/>
        <d v="1899-12-30T08:21:00"/>
        <d v="1899-12-30T08:09:00"/>
        <d v="1899-12-30T08:19:00"/>
        <d v="1899-12-30T08:28:00"/>
        <d v="1899-12-30T08:07:00"/>
        <d v="1899-12-30T08:39:00"/>
        <d v="1899-12-30T08:59:00"/>
        <d v="1899-12-30T08:00:00"/>
        <d v="1899-12-30T08:57:00"/>
        <d v="1899-12-30T08:08:00"/>
        <d v="1899-12-30T08:11:00"/>
        <d v="1899-12-30T08:46:00"/>
        <d v="1899-12-30T08:40:00"/>
        <d v="1899-12-30T08:05:00"/>
        <d v="1899-12-30T08:02:00"/>
        <d v="1899-12-30T08:01:00"/>
        <d v="1899-12-30T08:13:00"/>
        <d v="1899-12-30T08:45:00"/>
        <d v="1899-12-30T08:44:00"/>
        <d v="1899-12-30T08:41:00"/>
        <d v="1899-12-30T08:17:00"/>
        <d v="1899-12-30T08:30:00"/>
        <d v="1899-12-30T08:25:00"/>
        <d v="1899-12-30T08:12:00"/>
        <d v="1899-12-30T08:32:00"/>
        <d v="1899-12-30T08:43:00"/>
        <d v="1899-12-30T08:06:00"/>
        <d v="1899-12-30T08:56:00"/>
        <d v="1899-12-30T08:22:00"/>
        <d v="1899-12-30T08:55:00"/>
        <d v="1899-12-30T08:20:00"/>
        <d v="1899-12-30T08:26:00"/>
        <d v="1899-12-30T08:38:00"/>
        <d v="1899-12-30T08:35:00"/>
        <d v="1899-12-30T08:53:00"/>
        <d v="1899-12-30T08:50:00"/>
        <d v="1899-12-30T08:54:00"/>
        <d v="1899-12-30T08:27:00"/>
        <d v="1899-12-30T08:52:00"/>
        <s v="08:58" u="1"/>
        <s v="08:34" u="1"/>
        <s v="08:24" u="1"/>
        <s v="08:14" u="1"/>
        <s v="08:37" u="1"/>
        <s v="08:18" u="1"/>
        <s v="08:10" u="1"/>
        <s v="08:31" u="1"/>
        <s v="08:33" u="1"/>
        <s v="08:15" u="1"/>
        <s v="08:51" u="1"/>
        <s v="08:36" u="1"/>
        <s v="08:16" u="1"/>
        <s v="08:29" u="1"/>
        <s v="08:49" u="1"/>
        <s v="08:48" u="1"/>
        <s v="08:04" u="1"/>
        <s v="08:21" u="1"/>
        <s v="08:09" u="1"/>
        <s v="08:19" u="1"/>
        <s v="08:28" u="1"/>
        <s v="08:07" u="1"/>
        <s v="08:39" u="1"/>
        <s v="08:59" u="1"/>
        <s v="08:00" u="1"/>
        <s v="08:57" u="1"/>
        <s v="08:08" u="1"/>
        <s v="08:11" u="1"/>
        <s v="08:46" u="1"/>
        <s v="08:40" u="1"/>
        <s v="08:05" u="1"/>
        <s v="08:02" u="1"/>
        <s v="08:01" u="1"/>
        <s v="08:13" u="1"/>
        <s v="08:45" u="1"/>
        <s v="08:44" u="1"/>
        <s v="08:41" u="1"/>
        <s v="08:17" u="1"/>
        <s v="08:30" u="1"/>
        <s v="08:25" u="1"/>
        <s v="08:12" u="1"/>
        <s v="08:32" u="1"/>
        <s v="08:43" u="1"/>
        <s v="08:06" u="1"/>
        <s v="08:56" u="1"/>
        <s v="08:22" u="1"/>
        <s v="08:55" u="1"/>
        <s v="08:20" u="1"/>
        <s v="08:26" u="1"/>
        <s v="08:38" u="1"/>
        <s v="08:35" u="1"/>
        <s v="08:53" u="1"/>
        <s v="08:50" u="1"/>
        <s v="08:54" u="1"/>
        <s v="08:27" u="1"/>
        <s v="08:52" u="1"/>
      </sharedItems>
    </cacheField>
    <cacheField name="Jam Pulang" numFmtId="164">
      <sharedItems containsDate="1" containsMixedTypes="1" minDate="1899-12-30T17:00:00" maxDate="1899-12-30T17:59:00"/>
    </cacheField>
    <cacheField name="Status" numFmtId="164">
      <sharedItems/>
    </cacheField>
    <cacheField name="Total Jam Kerja" numFmtId="164">
      <sharedItems containsDate="1" containsMixedTypes="1" minDate="1899-12-30T08:09:00" maxDate="1899-12-30T09:52:00" count="70">
        <s v="00:00"/>
        <d v="1899-12-30T08:56:00"/>
        <d v="1899-12-30T08:33:00"/>
        <d v="1899-12-30T09:16:00"/>
        <d v="1899-12-30T09:08:00"/>
        <d v="1899-12-30T09:12:00"/>
        <d v="1899-12-30T09:11:00"/>
        <d v="1899-12-30T09:05:00"/>
        <d v="1899-12-30T09:06:00"/>
        <d v="1899-12-30T08:58:00"/>
        <d v="1899-12-30T09:41:00"/>
        <d v="1899-12-30T08:48:00"/>
        <d v="1899-12-30T08:32:00"/>
        <d v="1899-12-30T09:45:00"/>
        <d v="1899-12-30T09:31:00"/>
        <d v="1899-12-30T08:52:00"/>
        <d v="1899-12-30T08:11:00"/>
        <d v="1899-12-30T08:44:00"/>
        <d v="1899-12-30T08:19:00"/>
        <d v="1899-12-30T09:23:00"/>
        <d v="1899-12-30T09:13:00"/>
        <d v="1899-12-30T09:09:00"/>
        <d v="1899-12-30T09:37:00"/>
        <d v="1899-12-30T08:49:00"/>
        <d v="1899-12-30T08:30:00"/>
        <d v="1899-12-30T08:45:00"/>
        <d v="1899-12-30T08:57:00"/>
        <d v="1899-12-30T09:30:00"/>
        <d v="1899-12-30T09:15:00"/>
        <d v="1899-12-30T09:14:00"/>
        <d v="1899-12-30T09:33:00"/>
        <d v="1899-12-30T08:29:00"/>
        <d v="1899-12-30T09:04:00"/>
        <d v="1899-12-30T09:01:00"/>
        <d v="1899-12-30T09:21:00"/>
        <d v="1899-12-30T08:43:00"/>
        <d v="1899-12-30T08:40:00"/>
        <d v="1899-12-30T08:37:00"/>
        <d v="1899-12-30T09:51:00"/>
        <d v="1899-12-30T09:52:00"/>
        <d v="1899-12-30T09:34:00"/>
        <d v="1899-12-30T08:38:00"/>
        <d v="1899-12-30T09:24:00"/>
        <d v="1899-12-30T09:50:00"/>
        <d v="1899-12-30T08:34:00"/>
        <d v="1899-12-30T08:54:00"/>
        <d v="1899-12-30T08:25:00"/>
        <d v="1899-12-30T08:59:00"/>
        <d v="1899-12-30T08:31:00"/>
        <d v="1899-12-30T09:43:00"/>
        <d v="1899-12-30T09:10:00"/>
        <d v="1899-12-30T09:20:00"/>
        <d v="1899-12-30T08:15:00"/>
        <d v="1899-12-30T08:47:00"/>
        <d v="1899-12-30T09:03:00"/>
        <d v="1899-12-30T09:22:00"/>
        <d v="1899-12-30T09:46:00"/>
        <d v="1899-12-30T09:48:00"/>
        <d v="1899-12-30T09:36:00"/>
        <d v="1899-12-30T08:20:00"/>
        <d v="1899-12-30T09:35:00"/>
        <d v="1899-12-30T08:55:00"/>
        <d v="1899-12-30T08:27:00"/>
        <d v="1899-12-30T08:28:00"/>
        <d v="1899-12-30T08:35:00"/>
        <d v="1899-12-30T08:09:00"/>
        <d v="1899-12-30T09:32:00"/>
        <d v="1899-12-30T09:47:00"/>
        <d v="1899-12-30T09:26:00"/>
        <s v="-" u="1"/>
      </sharedItems>
    </cacheField>
  </cacheFields>
  <extLst>
    <ext xmlns:x14="http://schemas.microsoft.com/office/spreadsheetml/2009/9/main" uri="{725AE2AE-9491-48be-B2B4-4EB974FC3084}">
      <x14:pivotCacheDefinition pivotCacheId="13452857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jun Junaedi" refreshedDate="45991.6695056713" backgroundQuery="1" createdVersion="8" refreshedVersion="8" minRefreshableVersion="3" recordCount="0" supportSubquery="1" supportAdvancedDrill="1" xr:uid="{FC5D3DBF-DA7A-4C1C-90E4-83A39DFC6621}">
  <cacheSource type="external" connectionId="1"/>
  <cacheFields count="4">
    <cacheField name="[Table2].[Tanggal].[Tanggal]" caption="Tanggal" numFmtId="0" level="1">
      <sharedItems count="1">
        <s v="2025-01-03"/>
      </sharedItems>
    </cacheField>
    <cacheField name="[Table2].[Status].[Status]" caption="Status" numFmtId="0" hierarchy="5" level="1">
      <sharedItems count="5">
        <s v="Terlambat"/>
        <s v="Hadir" u="1"/>
        <s v="Alfa" u="1"/>
        <s v="Izin" u="1"/>
        <s v="Sakit" u="1"/>
      </sharedItems>
    </cacheField>
    <cacheField name="[Measures].[Count of Status]" caption="Count of Status" numFmtId="0" hierarchy="9" level="32767"/>
    <cacheField name="[Table2].[Nama].[Nama]" caption="Nama" numFmtId="0" hierarchy="2" level="1">
      <sharedItems containsSemiMixedTypes="0" containsNonDate="0" containsString="0"/>
    </cacheField>
  </cacheFields>
  <cacheHierarchies count="12">
    <cacheHierarchy uniqueName="[Table2].[Tanggal]" caption="Tanggal" attribute="1" defaultMemberUniqueName="[Table2].[Tanggal].[All]" allUniqueName="[Table2].[Tanggal].[All]" dimensionUniqueName="[Table2]" displayFolder="" count="2" memberValueDatatype="130" unbalanced="0">
      <fieldsUsage count="2">
        <fieldUsage x="-1"/>
        <fieldUsage x="0"/>
      </fieldsUsage>
    </cacheHierarchy>
    <cacheHierarchy uniqueName="[Table2].[ID]" caption="ID" attribute="1" defaultMemberUniqueName="[Table2].[ID].[All]" allUniqueName="[Table2].[ID].[All]" dimensionUniqueName="[Table2]" displayFolder="" count="0" memberValueDatatype="130" unbalanced="0"/>
    <cacheHierarchy uniqueName="[Table2].[Nama]" caption="Nama" attribute="1" defaultMemberUniqueName="[Table2].[Nama].[All]" allUniqueName="[Table2].[Nama].[All]" dimensionUniqueName="[Table2]" displayFolder="" count="2" memberValueDatatype="130" unbalanced="0">
      <fieldsUsage count="2">
        <fieldUsage x="-1"/>
        <fieldUsage x="3"/>
      </fieldsUsage>
    </cacheHierarchy>
    <cacheHierarchy uniqueName="[Table2].[Jam Masuk]" caption="Jam Masuk" attribute="1" defaultMemberUniqueName="[Table2].[Jam Masuk].[All]" allUniqueName="[Table2].[Jam Masuk].[All]" dimensionUniqueName="[Table2]" displayFolder="" count="0" memberValueDatatype="130" unbalanced="0"/>
    <cacheHierarchy uniqueName="[Table2].[Jam Pulang]" caption="Jam Pulang" attribute="1" defaultMemberUniqueName="[Table2].[Jam Pulang].[All]" allUniqueName="[Table2].[Jam Pulang].[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1"/>
      </fieldsUsage>
    </cacheHierarchy>
    <cacheHierarchy uniqueName="[Table2].[Total Jam Kerja]" caption="Total Jam Kerja" attribute="1" defaultMemberUniqueName="[Table2].[Total Jam Kerja].[All]" allUniqueName="[Table2].[Total Jam Kerja].[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tatus]" caption="Count of Status"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Total Jam Kerja]" caption="Count of Total Jam Kerja" measure="1" displayFolder="" measureGroup="Table2" count="0" hidden="1">
      <extLst>
        <ext xmlns:x15="http://schemas.microsoft.com/office/spreadsheetml/2010/11/main" uri="{B97F6D7D-B522-45F9-BDA1-12C45D357490}">
          <x15:cacheHierarchy aggregatedColumn="6"/>
        </ext>
      </extLst>
    </cacheHierarchy>
    <cacheHierarchy uniqueName="[Measures].[Count of Jam Masuk]" caption="Count of Jam Masuk" measure="1" displayFolder="" measureGroup="Table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jun Junaedi" refreshedDate="45991.669505208331" backgroundQuery="1" createdVersion="8" refreshedVersion="8" minRefreshableVersion="3" recordCount="0" supportSubquery="1" supportAdvancedDrill="1" xr:uid="{694B116C-B64D-4A56-B185-278E45CC1100}">
  <cacheSource type="external" connectionId="1"/>
  <cacheFields count="4">
    <cacheField name="[Table2].[Nama].[Nama]" caption="Nama" numFmtId="0" hierarchy="2" level="1">
      <sharedItems count="8">
        <s v="Citra"/>
        <s v="Budi" u="1"/>
        <s v="Dewi" u="1"/>
        <s v="Intan" u="1"/>
        <s v="Fajar" u="1"/>
        <s v="Andi" u="1"/>
        <s v="Eka" u="1"/>
        <s v="Joko" u="1"/>
      </sharedItems>
    </cacheField>
    <cacheField name="[Measures].[Count of Status]" caption="Count of Status" numFmtId="0" hierarchy="9" level="32767"/>
    <cacheField name="[Table2].[Status].[Status]" caption="Status" numFmtId="0" hierarchy="5" level="1">
      <sharedItems count="5">
        <s v="Terlambat"/>
        <s v="Hadir" u="1"/>
        <s v="Alfa" u="1"/>
        <s v="Izin" u="1"/>
        <s v="Sakit" u="1"/>
      </sharedItems>
    </cacheField>
    <cacheField name="[Table2].[Tanggal].[Tanggal]" caption="Tanggal" numFmtId="0" level="1">
      <sharedItems containsSemiMixedTypes="0" containsNonDate="0" containsString="0"/>
    </cacheField>
  </cacheFields>
  <cacheHierarchies count="12">
    <cacheHierarchy uniqueName="[Table2].[Tanggal]" caption="Tanggal" attribute="1" defaultMemberUniqueName="[Table2].[Tanggal].[All]" allUniqueName="[Table2].[Tanggal].[All]" dimensionUniqueName="[Table2]" displayFolder="" count="2" memberValueDatatype="130" unbalanced="0">
      <fieldsUsage count="2">
        <fieldUsage x="-1"/>
        <fieldUsage x="3"/>
      </fieldsUsage>
    </cacheHierarchy>
    <cacheHierarchy uniqueName="[Table2].[ID]" caption="ID" attribute="1" defaultMemberUniqueName="[Table2].[ID].[All]" allUniqueName="[Table2].[ID].[All]" dimensionUniqueName="[Table2]" displayFolder="" count="2" memberValueDatatype="130" unbalanced="0"/>
    <cacheHierarchy uniqueName="[Table2].[Nama]" caption="Nama" attribute="1" defaultMemberUniqueName="[Table2].[Nama].[All]" allUniqueName="[Table2].[Nama].[All]" dimensionUniqueName="[Table2]" displayFolder="" count="2" memberValueDatatype="130" unbalanced="0">
      <fieldsUsage count="2">
        <fieldUsage x="-1"/>
        <fieldUsage x="0"/>
      </fieldsUsage>
    </cacheHierarchy>
    <cacheHierarchy uniqueName="[Table2].[Jam Masuk]" caption="Jam Masuk" attribute="1" defaultMemberUniqueName="[Table2].[Jam Masuk].[All]" allUniqueName="[Table2].[Jam Masuk].[All]" dimensionUniqueName="[Table2]" displayFolder="" count="0" memberValueDatatype="130" unbalanced="0"/>
    <cacheHierarchy uniqueName="[Table2].[Jam Pulang]" caption="Jam Pulang" attribute="1" defaultMemberUniqueName="[Table2].[Jam Pulang].[All]" allUniqueName="[Table2].[Jam Pulang].[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2"/>
      </fieldsUsage>
    </cacheHierarchy>
    <cacheHierarchy uniqueName="[Table2].[Total Jam Kerja]" caption="Total Jam Kerja" attribute="1" defaultMemberUniqueName="[Table2].[Total Jam Kerja].[All]" allUniqueName="[Table2].[Total Jam Kerja].[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tatus]" caption="Count of Status"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Total Jam Kerja]" caption="Count of Total Jam Kerja" measure="1" displayFolder="" measureGroup="Table2" count="0" hidden="1">
      <extLst>
        <ext xmlns:x15="http://schemas.microsoft.com/office/spreadsheetml/2010/11/main" uri="{B97F6D7D-B522-45F9-BDA1-12C45D357490}">
          <x15:cacheHierarchy aggregatedColumn="6"/>
        </ext>
      </extLst>
    </cacheHierarchy>
    <cacheHierarchy uniqueName="[Measures].[Count of Jam Masuk]" caption="Count of Jam Masuk" measure="1" displayFolder="" measureGroup="Table2"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jun Junaedi" refreshedDate="45991.653941666664" backgroundQuery="1" createdVersion="3" refreshedVersion="8" minRefreshableVersion="3" recordCount="0" supportSubquery="1" supportAdvancedDrill="1" xr:uid="{C0D00E9D-1182-4313-9D80-B9992D015398}">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Table2].[Tanggal]" caption="Tanggal" attribute="1" defaultMemberUniqueName="[Table2].[Tanggal].[All]" allUniqueName="[Table2].[Tanggal].[All]" dimensionUniqueName="[Table2]" displayFolder="" count="2" memberValueDatatype="130" unbalanced="0"/>
    <cacheHierarchy uniqueName="[Table2].[ID]" caption="ID" attribute="1" defaultMemberUniqueName="[Table2].[ID].[All]" allUniqueName="[Table2].[ID].[All]" dimensionUniqueName="[Table2]" displayFolder="" count="0" memberValueDatatype="130" unbalanced="0"/>
    <cacheHierarchy uniqueName="[Table2].[Nama]" caption="Nama" attribute="1" defaultMemberUniqueName="[Table2].[Nama].[All]" allUniqueName="[Table2].[Nama].[All]" dimensionUniqueName="[Table2]" displayFolder="" count="2" memberValueDatatype="130" unbalanced="0"/>
    <cacheHierarchy uniqueName="[Table2].[Jam Masuk]" caption="Jam Masuk" attribute="1" defaultMemberUniqueName="[Table2].[Jam Masuk].[All]" allUniqueName="[Table2].[Jam Masuk].[All]" dimensionUniqueName="[Table2]" displayFolder="" count="0" memberValueDatatype="130" unbalanced="0"/>
    <cacheHierarchy uniqueName="[Table2].[Jam Pulang]" caption="Jam Pulang" attribute="1" defaultMemberUniqueName="[Table2].[Jam Pulang].[All]" allUniqueName="[Table2].[Jam Pulang].[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cacheHierarchy uniqueName="[Table2].[Total Jam Kerja]" caption="Total Jam Kerja" attribute="1" defaultMemberUniqueName="[Table2].[Total Jam Kerja].[All]" allUniqueName="[Table2].[Total Jam Kerja].[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tatus]" caption="Count of Status" measure="1" displayFolder="" measureGroup="Table2" count="0" hidden="1">
      <extLst>
        <ext xmlns:x15="http://schemas.microsoft.com/office/spreadsheetml/2010/11/main" uri="{B97F6D7D-B522-45F9-BDA1-12C45D357490}">
          <x15:cacheHierarchy aggregatedColumn="5"/>
        </ext>
      </extLst>
    </cacheHierarchy>
    <cacheHierarchy uniqueName="[Measures].[Count of Total Jam Kerja]" caption="Count of Total Jam Kerja" measure="1" displayFolder="" measureGroup="Table2" count="0" hidden="1">
      <extLst>
        <ext xmlns:x15="http://schemas.microsoft.com/office/spreadsheetml/2010/11/main" uri="{B97F6D7D-B522-45F9-BDA1-12C45D357490}">
          <x15:cacheHierarchy aggregatedColumn="6"/>
        </ext>
      </extLst>
    </cacheHierarchy>
    <cacheHierarchy uniqueName="[Measures].[Count of Jam Masuk]" caption="Count of Jam Masuk" measure="1" displayFolder="" measureGroup="Table2"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316512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2025-01-01"/>
    <s v="K001"/>
    <x v="0"/>
    <x v="0"/>
    <s v="-"/>
    <s v="Sakit"/>
    <x v="0"/>
  </r>
  <r>
    <s v="2025-01-01"/>
    <s v="K002"/>
    <x v="1"/>
    <x v="0"/>
    <s v="-"/>
    <s v="Sakit"/>
    <x v="0"/>
  </r>
  <r>
    <s v="2025-01-01"/>
    <s v="K003"/>
    <x v="2"/>
    <x v="0"/>
    <s v="-"/>
    <s v="Alfa"/>
    <x v="0"/>
  </r>
  <r>
    <s v="2025-01-01"/>
    <s v="K004"/>
    <x v="3"/>
    <x v="1"/>
    <d v="1899-12-30T17:54:00"/>
    <s v="Terlambat"/>
    <x v="1"/>
  </r>
  <r>
    <s v="2025-01-01"/>
    <s v="K005"/>
    <x v="4"/>
    <x v="0"/>
    <s v="-"/>
    <s v="Izin"/>
    <x v="0"/>
  </r>
  <r>
    <s v="2025-01-01"/>
    <s v="K006"/>
    <x v="5"/>
    <x v="2"/>
    <d v="1899-12-30T17:07:00"/>
    <s v="Terlambat"/>
    <x v="2"/>
  </r>
  <r>
    <s v="2025-01-01"/>
    <s v="K007"/>
    <x v="6"/>
    <x v="0"/>
    <s v="-"/>
    <s v="Alfa"/>
    <x v="0"/>
  </r>
  <r>
    <s v="2025-01-01"/>
    <s v="K008"/>
    <x v="7"/>
    <x v="3"/>
    <d v="1899-12-30T17:40:00"/>
    <s v="Hadir"/>
    <x v="3"/>
  </r>
  <r>
    <s v="2025-01-01"/>
    <s v="K009"/>
    <x v="8"/>
    <x v="4"/>
    <d v="1899-12-30T17:30:00"/>
    <s v="Terlambat"/>
    <x v="3"/>
  </r>
  <r>
    <s v="2025-01-01"/>
    <s v="K010"/>
    <x v="9"/>
    <x v="0"/>
    <s v="-"/>
    <s v="Sakit"/>
    <x v="0"/>
  </r>
  <r>
    <s v="2025-01-02"/>
    <s v="K001"/>
    <x v="0"/>
    <x v="0"/>
    <s v="-"/>
    <s v="Izin"/>
    <x v="0"/>
  </r>
  <r>
    <s v="2025-01-02"/>
    <s v="K002"/>
    <x v="1"/>
    <x v="0"/>
    <s v="-"/>
    <s v="Izin"/>
    <x v="0"/>
  </r>
  <r>
    <s v="2025-01-02"/>
    <s v="K003"/>
    <x v="2"/>
    <x v="0"/>
    <s v="-"/>
    <s v="Alfa"/>
    <x v="0"/>
  </r>
  <r>
    <s v="2025-01-02"/>
    <s v="K004"/>
    <x v="3"/>
    <x v="0"/>
    <s v="-"/>
    <s v="Alfa"/>
    <x v="0"/>
  </r>
  <r>
    <s v="2025-01-02"/>
    <s v="K005"/>
    <x v="4"/>
    <x v="0"/>
    <s v="-"/>
    <s v="Izin"/>
    <x v="0"/>
  </r>
  <r>
    <s v="2025-01-02"/>
    <s v="K006"/>
    <x v="5"/>
    <x v="0"/>
    <s v="-"/>
    <s v="Sakit"/>
    <x v="0"/>
  </r>
  <r>
    <s v="2025-01-02"/>
    <s v="K007"/>
    <x v="6"/>
    <x v="0"/>
    <s v="-"/>
    <s v="Sakit"/>
    <x v="0"/>
  </r>
  <r>
    <s v="2025-01-02"/>
    <s v="K008"/>
    <x v="7"/>
    <x v="5"/>
    <d v="1899-12-30T17:45:00"/>
    <s v="Terlambat"/>
    <x v="4"/>
  </r>
  <r>
    <s v="2025-01-02"/>
    <s v="K009"/>
    <x v="8"/>
    <x v="6"/>
    <d v="1899-12-30T17:30:00"/>
    <s v="Hadir"/>
    <x v="5"/>
  </r>
  <r>
    <s v="2025-01-02"/>
    <s v="K010"/>
    <x v="9"/>
    <x v="0"/>
    <s v="-"/>
    <s v="Izin"/>
    <x v="0"/>
  </r>
  <r>
    <s v="2025-01-03"/>
    <s v="K001"/>
    <x v="0"/>
    <x v="0"/>
    <s v="-"/>
    <s v="Sakit"/>
    <x v="0"/>
  </r>
  <r>
    <s v="2025-01-03"/>
    <s v="K002"/>
    <x v="1"/>
    <x v="7"/>
    <d v="1899-12-30T17:06:00"/>
    <s v="Terlambat"/>
    <x v="1"/>
  </r>
  <r>
    <s v="2025-01-03"/>
    <s v="K003"/>
    <x v="2"/>
    <x v="8"/>
    <d v="1899-12-30T17:42:00"/>
    <s v="Terlambat"/>
    <x v="6"/>
  </r>
  <r>
    <s v="2025-01-03"/>
    <s v="K004"/>
    <x v="3"/>
    <x v="9"/>
    <d v="1899-12-30T17:38:00"/>
    <s v="Terlambat"/>
    <x v="7"/>
  </r>
  <r>
    <s v="2025-01-03"/>
    <s v="K005"/>
    <x v="4"/>
    <x v="0"/>
    <s v="-"/>
    <s v="Alfa"/>
    <x v="0"/>
  </r>
  <r>
    <s v="2025-01-03"/>
    <s v="K006"/>
    <x v="5"/>
    <x v="0"/>
    <s v="-"/>
    <s v="Alfa"/>
    <x v="0"/>
  </r>
  <r>
    <s v="2025-01-03"/>
    <s v="K007"/>
    <x v="6"/>
    <x v="0"/>
    <s v="-"/>
    <s v="Izin"/>
    <x v="0"/>
  </r>
  <r>
    <s v="2025-01-03"/>
    <s v="K008"/>
    <x v="7"/>
    <x v="0"/>
    <s v="-"/>
    <s v="Sakit"/>
    <x v="0"/>
  </r>
  <r>
    <s v="2025-01-03"/>
    <s v="K009"/>
    <x v="8"/>
    <x v="4"/>
    <d v="1899-12-30T17:20:00"/>
    <s v="Hadir"/>
    <x v="8"/>
  </r>
  <r>
    <s v="2025-01-03"/>
    <s v="K010"/>
    <x v="9"/>
    <x v="0"/>
    <s v="-"/>
    <s v="Izin"/>
    <x v="0"/>
  </r>
  <r>
    <s v="2025-01-04"/>
    <s v="K001"/>
    <x v="0"/>
    <x v="7"/>
    <d v="1899-12-30T17:08:00"/>
    <s v="Hadir"/>
    <x v="9"/>
  </r>
  <r>
    <s v="2025-01-04"/>
    <s v="K002"/>
    <x v="1"/>
    <x v="0"/>
    <s v="-"/>
    <s v="Izin"/>
    <x v="0"/>
  </r>
  <r>
    <s v="2025-01-04"/>
    <s v="K003"/>
    <x v="2"/>
    <x v="10"/>
    <d v="1899-12-30T17:56:00"/>
    <s v="Hadir"/>
    <x v="10"/>
  </r>
  <r>
    <s v="2025-01-04"/>
    <s v="K004"/>
    <x v="3"/>
    <x v="0"/>
    <s v="-"/>
    <s v="Sakit"/>
    <x v="0"/>
  </r>
  <r>
    <s v="2025-01-04"/>
    <s v="K005"/>
    <x v="4"/>
    <x v="0"/>
    <s v="-"/>
    <s v="Izin"/>
    <x v="0"/>
  </r>
  <r>
    <s v="2025-01-04"/>
    <s v="K006"/>
    <x v="5"/>
    <x v="0"/>
    <s v="-"/>
    <s v="Izin"/>
    <x v="0"/>
  </r>
  <r>
    <s v="2025-01-04"/>
    <s v="K007"/>
    <x v="6"/>
    <x v="0"/>
    <s v="-"/>
    <s v="Sakit"/>
    <x v="0"/>
  </r>
  <r>
    <s v="2025-01-04"/>
    <s v="K008"/>
    <x v="7"/>
    <x v="0"/>
    <s v="-"/>
    <s v="Alfa"/>
    <x v="0"/>
  </r>
  <r>
    <s v="2025-01-04"/>
    <s v="K009"/>
    <x v="8"/>
    <x v="0"/>
    <s v="-"/>
    <s v="Alfa"/>
    <x v="0"/>
  </r>
  <r>
    <s v="2025-01-04"/>
    <s v="K010"/>
    <x v="9"/>
    <x v="0"/>
    <s v="-"/>
    <s v="Alfa"/>
    <x v="0"/>
  </r>
  <r>
    <s v="2025-01-05"/>
    <s v="K001"/>
    <x v="0"/>
    <x v="11"/>
    <d v="1899-12-30T17:39:00"/>
    <s v="Hadir"/>
    <x v="11"/>
  </r>
  <r>
    <s v="2025-01-05"/>
    <s v="K002"/>
    <x v="1"/>
    <x v="12"/>
    <d v="1899-12-30T17:08:00"/>
    <s v="Terlambat"/>
    <x v="12"/>
  </r>
  <r>
    <s v="2025-01-05"/>
    <s v="K003"/>
    <x v="2"/>
    <x v="0"/>
    <s v="-"/>
    <s v="Izin"/>
    <x v="0"/>
  </r>
  <r>
    <s v="2025-01-05"/>
    <s v="K004"/>
    <x v="3"/>
    <x v="0"/>
    <s v="-"/>
    <s v="Alfa"/>
    <x v="0"/>
  </r>
  <r>
    <s v="2025-01-05"/>
    <s v="K005"/>
    <x v="4"/>
    <x v="0"/>
    <s v="-"/>
    <s v="Alfa"/>
    <x v="0"/>
  </r>
  <r>
    <s v="2025-01-05"/>
    <s v="K006"/>
    <x v="5"/>
    <x v="7"/>
    <d v="1899-12-30T17:55:00"/>
    <s v="Terlambat"/>
    <x v="13"/>
  </r>
  <r>
    <s v="2025-01-05"/>
    <s v="K007"/>
    <x v="6"/>
    <x v="0"/>
    <s v="-"/>
    <s v="Alfa"/>
    <x v="0"/>
  </r>
  <r>
    <s v="2025-01-05"/>
    <s v="K008"/>
    <x v="7"/>
    <x v="0"/>
    <s v="-"/>
    <s v="Sakit"/>
    <x v="0"/>
  </r>
  <r>
    <s v="2025-01-05"/>
    <s v="K009"/>
    <x v="8"/>
    <x v="13"/>
    <d v="1899-12-30T17:47:00"/>
    <s v="Terlambat"/>
    <x v="14"/>
  </r>
  <r>
    <s v="2025-01-05"/>
    <s v="K010"/>
    <x v="9"/>
    <x v="14"/>
    <d v="1899-12-30T17:21:00"/>
    <s v="Terlambat"/>
    <x v="15"/>
  </r>
  <r>
    <s v="2025-01-06"/>
    <s v="K001"/>
    <x v="0"/>
    <x v="0"/>
    <s v="-"/>
    <s v="Izin"/>
    <x v="0"/>
  </r>
  <r>
    <s v="2025-01-06"/>
    <s v="K002"/>
    <x v="1"/>
    <x v="15"/>
    <d v="1899-12-30T17:00:00"/>
    <s v="Terlambat"/>
    <x v="16"/>
  </r>
  <r>
    <s v="2025-01-06"/>
    <s v="K003"/>
    <x v="2"/>
    <x v="16"/>
    <d v="1899-12-30T17:32:00"/>
    <s v="Terlambat"/>
    <x v="17"/>
  </r>
  <r>
    <s v="2025-01-06"/>
    <s v="K004"/>
    <x v="3"/>
    <x v="15"/>
    <d v="1899-12-30T17:08:00"/>
    <s v="Terlambat"/>
    <x v="18"/>
  </r>
  <r>
    <s v="2025-01-06"/>
    <s v="K005"/>
    <x v="4"/>
    <x v="0"/>
    <s v="-"/>
    <s v="Izin"/>
    <x v="0"/>
  </r>
  <r>
    <s v="2025-01-06"/>
    <s v="K006"/>
    <x v="5"/>
    <x v="0"/>
    <s v="-"/>
    <s v="Alfa"/>
    <x v="0"/>
  </r>
  <r>
    <s v="2025-01-06"/>
    <s v="K007"/>
    <x v="6"/>
    <x v="0"/>
    <s v="-"/>
    <s v="Alfa"/>
    <x v="0"/>
  </r>
  <r>
    <s v="2025-01-06"/>
    <s v="K008"/>
    <x v="7"/>
    <x v="0"/>
    <s v="-"/>
    <s v="Izin"/>
    <x v="0"/>
  </r>
  <r>
    <s v="2025-01-06"/>
    <s v="K009"/>
    <x v="8"/>
    <x v="0"/>
    <s v="-"/>
    <s v="Sakit"/>
    <x v="0"/>
  </r>
  <r>
    <s v="2025-01-06"/>
    <s v="K010"/>
    <x v="9"/>
    <x v="17"/>
    <d v="1899-12-30T17:00:00"/>
    <s v="Hadir"/>
    <x v="1"/>
  </r>
  <r>
    <s v="2025-01-07"/>
    <s v="K001"/>
    <x v="0"/>
    <x v="0"/>
    <s v="-"/>
    <s v="Sakit"/>
    <x v="0"/>
  </r>
  <r>
    <s v="2025-01-07"/>
    <s v="K002"/>
    <x v="1"/>
    <x v="0"/>
    <s v="-"/>
    <s v="Sakit"/>
    <x v="0"/>
  </r>
  <r>
    <s v="2025-01-07"/>
    <s v="K003"/>
    <x v="2"/>
    <x v="18"/>
    <d v="1899-12-30T17:44:00"/>
    <s v="Terlambat"/>
    <x v="19"/>
  </r>
  <r>
    <s v="2025-01-07"/>
    <s v="K004"/>
    <x v="3"/>
    <x v="19"/>
    <d v="1899-12-30T17:22:00"/>
    <s v="Terlambat"/>
    <x v="20"/>
  </r>
  <r>
    <s v="2025-01-07"/>
    <s v="K005"/>
    <x v="4"/>
    <x v="0"/>
    <s v="-"/>
    <s v="Izin"/>
    <x v="0"/>
  </r>
  <r>
    <s v="2025-01-07"/>
    <s v="K006"/>
    <x v="5"/>
    <x v="0"/>
    <s v="-"/>
    <s v="Alfa"/>
    <x v="0"/>
  </r>
  <r>
    <s v="2025-01-07"/>
    <s v="K007"/>
    <x v="6"/>
    <x v="0"/>
    <s v="-"/>
    <s v="Izin"/>
    <x v="0"/>
  </r>
  <r>
    <s v="2025-01-07"/>
    <s v="K008"/>
    <x v="7"/>
    <x v="20"/>
    <d v="1899-12-30T17:27:00"/>
    <s v="Hadir"/>
    <x v="4"/>
  </r>
  <r>
    <s v="2025-01-07"/>
    <s v="K009"/>
    <x v="8"/>
    <x v="0"/>
    <s v="-"/>
    <s v="Izin"/>
    <x v="0"/>
  </r>
  <r>
    <s v="2025-01-07"/>
    <s v="K010"/>
    <x v="9"/>
    <x v="0"/>
    <s v="-"/>
    <s v="Alfa"/>
    <x v="0"/>
  </r>
  <r>
    <s v="2025-01-08"/>
    <s v="K001"/>
    <x v="0"/>
    <x v="0"/>
    <s v="-"/>
    <s v="Sakit"/>
    <x v="0"/>
  </r>
  <r>
    <s v="2025-01-08"/>
    <s v="K002"/>
    <x v="1"/>
    <x v="0"/>
    <s v="-"/>
    <s v="Sakit"/>
    <x v="0"/>
  </r>
  <r>
    <s v="2025-01-08"/>
    <s v="K003"/>
    <x v="2"/>
    <x v="21"/>
    <d v="1899-12-30T17:37:00"/>
    <s v="Hadir"/>
    <x v="21"/>
  </r>
  <r>
    <s v="2025-01-08"/>
    <s v="K004"/>
    <x v="3"/>
    <x v="22"/>
    <d v="1899-12-30T17:44:00"/>
    <s v="Hadir"/>
    <x v="22"/>
  </r>
  <r>
    <s v="2025-01-08"/>
    <s v="K005"/>
    <x v="4"/>
    <x v="4"/>
    <d v="1899-12-30T17:03:00"/>
    <s v="Terlambat"/>
    <x v="23"/>
  </r>
  <r>
    <s v="2025-01-08"/>
    <s v="K006"/>
    <x v="5"/>
    <x v="0"/>
    <s v="-"/>
    <s v="Sakit"/>
    <x v="0"/>
  </r>
  <r>
    <s v="2025-01-08"/>
    <s v="K007"/>
    <x v="6"/>
    <x v="23"/>
    <d v="1899-12-30T17:09:00"/>
    <s v="Terlambat"/>
    <x v="24"/>
  </r>
  <r>
    <s v="2025-01-08"/>
    <s v="K008"/>
    <x v="7"/>
    <x v="1"/>
    <d v="1899-12-30T17:43:00"/>
    <s v="Terlambat"/>
    <x v="25"/>
  </r>
  <r>
    <s v="2025-01-08"/>
    <s v="K009"/>
    <x v="8"/>
    <x v="0"/>
    <s v="-"/>
    <s v="Alfa"/>
    <x v="0"/>
  </r>
  <r>
    <s v="2025-01-08"/>
    <s v="K010"/>
    <x v="9"/>
    <x v="24"/>
    <d v="1899-12-30T17:56:00"/>
    <s v="Terlambat"/>
    <x v="26"/>
  </r>
  <r>
    <s v="2025-01-09"/>
    <s v="K001"/>
    <x v="0"/>
    <x v="17"/>
    <d v="1899-12-30T17:34:00"/>
    <s v="Terlambat"/>
    <x v="27"/>
  </r>
  <r>
    <s v="2025-01-09"/>
    <s v="K002"/>
    <x v="1"/>
    <x v="21"/>
    <d v="1899-12-30T17:58:00"/>
    <s v="Terlambat"/>
    <x v="27"/>
  </r>
  <r>
    <s v="2025-01-09"/>
    <s v="K003"/>
    <x v="2"/>
    <x v="0"/>
    <s v="-"/>
    <s v="Sakit"/>
    <x v="0"/>
  </r>
  <r>
    <s v="2025-01-09"/>
    <s v="K004"/>
    <x v="3"/>
    <x v="0"/>
    <s v="-"/>
    <s v="Izin"/>
    <x v="0"/>
  </r>
  <r>
    <s v="2025-01-09"/>
    <s v="K005"/>
    <x v="4"/>
    <x v="4"/>
    <d v="1899-12-30T17:29:00"/>
    <s v="Terlambat"/>
    <x v="28"/>
  </r>
  <r>
    <s v="2025-01-09"/>
    <s v="K006"/>
    <x v="5"/>
    <x v="25"/>
    <d v="1899-12-30T17:14:00"/>
    <s v="Terlambat"/>
    <x v="29"/>
  </r>
  <r>
    <s v="2025-01-09"/>
    <s v="K007"/>
    <x v="6"/>
    <x v="4"/>
    <d v="1899-12-30T17:47:00"/>
    <s v="Hadir"/>
    <x v="30"/>
  </r>
  <r>
    <s v="2025-01-09"/>
    <s v="K008"/>
    <x v="7"/>
    <x v="0"/>
    <s v="-"/>
    <s v="Alfa"/>
    <x v="0"/>
  </r>
  <r>
    <s v="2025-01-09"/>
    <s v="K009"/>
    <x v="8"/>
    <x v="0"/>
    <s v="-"/>
    <s v="Alfa"/>
    <x v="0"/>
  </r>
  <r>
    <s v="2025-01-09"/>
    <s v="K010"/>
    <x v="9"/>
    <x v="0"/>
    <s v="-"/>
    <s v="Izin"/>
    <x v="0"/>
  </r>
  <r>
    <s v="2025-01-10"/>
    <s v="K001"/>
    <x v="0"/>
    <x v="0"/>
    <s v="-"/>
    <s v="Alfa"/>
    <x v="0"/>
  </r>
  <r>
    <s v="2025-01-10"/>
    <s v="K002"/>
    <x v="1"/>
    <x v="26"/>
    <d v="1899-12-30T17:26:00"/>
    <s v="Terlambat"/>
    <x v="31"/>
  </r>
  <r>
    <s v="2025-01-10"/>
    <s v="K003"/>
    <x v="2"/>
    <x v="0"/>
    <s v="-"/>
    <s v="Izin"/>
    <x v="0"/>
  </r>
  <r>
    <s v="2025-01-10"/>
    <s v="K004"/>
    <x v="3"/>
    <x v="0"/>
    <s v="-"/>
    <s v="Izin"/>
    <x v="0"/>
  </r>
  <r>
    <s v="2025-01-10"/>
    <s v="K005"/>
    <x v="4"/>
    <x v="0"/>
    <s v="-"/>
    <s v="Alfa"/>
    <x v="0"/>
  </r>
  <r>
    <s v="2025-01-10"/>
    <s v="K006"/>
    <x v="5"/>
    <x v="0"/>
    <s v="-"/>
    <s v="Sakit"/>
    <x v="0"/>
  </r>
  <r>
    <s v="2025-01-10"/>
    <s v="K007"/>
    <x v="6"/>
    <x v="0"/>
    <s v="-"/>
    <s v="Alfa"/>
    <x v="0"/>
  </r>
  <r>
    <s v="2025-01-10"/>
    <s v="K008"/>
    <x v="7"/>
    <x v="0"/>
    <s v="-"/>
    <s v="Sakit"/>
    <x v="0"/>
  </r>
  <r>
    <s v="2025-01-10"/>
    <s v="K009"/>
    <x v="8"/>
    <x v="10"/>
    <d v="1899-12-30T17:46:00"/>
    <s v="Terlambat"/>
    <x v="14"/>
  </r>
  <r>
    <s v="2025-01-10"/>
    <s v="K010"/>
    <x v="9"/>
    <x v="27"/>
    <d v="1899-12-30T17:12:00"/>
    <s v="Hadir"/>
    <x v="32"/>
  </r>
  <r>
    <s v="2025-01-11"/>
    <s v="K001"/>
    <x v="0"/>
    <x v="0"/>
    <s v="-"/>
    <s v="Izin"/>
    <x v="0"/>
  </r>
  <r>
    <s v="2025-01-11"/>
    <s v="K002"/>
    <x v="1"/>
    <x v="0"/>
    <s v="-"/>
    <s v="Sakit"/>
    <x v="0"/>
  </r>
  <r>
    <s v="2025-01-11"/>
    <s v="K003"/>
    <x v="2"/>
    <x v="0"/>
    <s v="-"/>
    <s v="Izin"/>
    <x v="0"/>
  </r>
  <r>
    <s v="2025-01-11"/>
    <s v="K004"/>
    <x v="3"/>
    <x v="0"/>
    <s v="-"/>
    <s v="Izin"/>
    <x v="0"/>
  </r>
  <r>
    <s v="2025-01-11"/>
    <s v="K005"/>
    <x v="4"/>
    <x v="0"/>
    <s v="-"/>
    <s v="Alfa"/>
    <x v="0"/>
  </r>
  <r>
    <s v="2025-01-11"/>
    <s v="K006"/>
    <x v="5"/>
    <x v="0"/>
    <s v="-"/>
    <s v="Sakit"/>
    <x v="0"/>
  </r>
  <r>
    <s v="2025-01-11"/>
    <s v="K007"/>
    <x v="6"/>
    <x v="0"/>
    <s v="-"/>
    <s v="Izin"/>
    <x v="0"/>
  </r>
  <r>
    <s v="2025-01-11"/>
    <s v="K008"/>
    <x v="7"/>
    <x v="0"/>
    <s v="-"/>
    <s v="Alfa"/>
    <x v="0"/>
  </r>
  <r>
    <s v="2025-01-11"/>
    <s v="K009"/>
    <x v="8"/>
    <x v="0"/>
    <s v="-"/>
    <s v="Izin"/>
    <x v="0"/>
  </r>
  <r>
    <s v="2025-01-11"/>
    <s v="K010"/>
    <x v="9"/>
    <x v="2"/>
    <d v="1899-12-30T17:35:00"/>
    <s v="Hadir"/>
    <x v="33"/>
  </r>
  <r>
    <s v="2025-01-12"/>
    <s v="K001"/>
    <x v="0"/>
    <x v="0"/>
    <s v="-"/>
    <s v="Izin"/>
    <x v="0"/>
  </r>
  <r>
    <s v="2025-01-12"/>
    <s v="K002"/>
    <x v="1"/>
    <x v="28"/>
    <d v="1899-12-30T17:32:00"/>
    <s v="Terlambat"/>
    <x v="34"/>
  </r>
  <r>
    <s v="2025-01-12"/>
    <s v="K003"/>
    <x v="2"/>
    <x v="0"/>
    <s v="-"/>
    <s v="Izin"/>
    <x v="0"/>
  </r>
  <r>
    <s v="2025-01-12"/>
    <s v="K004"/>
    <x v="3"/>
    <x v="12"/>
    <d v="1899-12-30T17:19:00"/>
    <s v="Terlambat"/>
    <x v="35"/>
  </r>
  <r>
    <s v="2025-01-12"/>
    <s v="K005"/>
    <x v="4"/>
    <x v="29"/>
    <d v="1899-12-30T17:47:00"/>
    <s v="Hadir"/>
    <x v="33"/>
  </r>
  <r>
    <s v="2025-01-12"/>
    <s v="K006"/>
    <x v="5"/>
    <x v="30"/>
    <d v="1899-12-30T17:20:00"/>
    <s v="Terlambat"/>
    <x v="36"/>
  </r>
  <r>
    <s v="2025-01-12"/>
    <s v="K007"/>
    <x v="6"/>
    <x v="0"/>
    <s v="-"/>
    <s v="Izin"/>
    <x v="0"/>
  </r>
  <r>
    <s v="2025-01-12"/>
    <s v="K008"/>
    <x v="7"/>
    <x v="0"/>
    <s v="-"/>
    <s v="Alfa"/>
    <x v="0"/>
  </r>
  <r>
    <s v="2025-01-12"/>
    <s v="K009"/>
    <x v="8"/>
    <x v="31"/>
    <d v="1899-12-30T17:26:00"/>
    <s v="Hadir"/>
    <x v="34"/>
  </r>
  <r>
    <s v="2025-01-12"/>
    <s v="K010"/>
    <x v="9"/>
    <x v="0"/>
    <s v="-"/>
    <s v="Alfa"/>
    <x v="0"/>
  </r>
  <r>
    <s v="2025-01-13"/>
    <s v="K001"/>
    <x v="0"/>
    <x v="0"/>
    <s v="-"/>
    <s v="Sakit"/>
    <x v="0"/>
  </r>
  <r>
    <s v="2025-01-13"/>
    <s v="K002"/>
    <x v="1"/>
    <x v="3"/>
    <d v="1899-12-30T17:01:00"/>
    <s v="Terlambat"/>
    <x v="37"/>
  </r>
  <r>
    <s v="2025-01-13"/>
    <s v="K003"/>
    <x v="2"/>
    <x v="27"/>
    <d v="1899-12-30T17:59:00"/>
    <s v="Hadir"/>
    <x v="38"/>
  </r>
  <r>
    <s v="2025-01-13"/>
    <s v="K004"/>
    <x v="3"/>
    <x v="0"/>
    <s v="-"/>
    <s v="Izin"/>
    <x v="0"/>
  </r>
  <r>
    <s v="2025-01-13"/>
    <s v="K005"/>
    <x v="4"/>
    <x v="0"/>
    <s v="-"/>
    <s v="Alfa"/>
    <x v="0"/>
  </r>
  <r>
    <s v="2025-01-13"/>
    <s v="K006"/>
    <x v="5"/>
    <x v="11"/>
    <d v="1899-12-30T17:56:00"/>
    <s v="Hadir"/>
    <x v="7"/>
  </r>
  <r>
    <s v="2025-01-13"/>
    <s v="K007"/>
    <x v="6"/>
    <x v="0"/>
    <s v="-"/>
    <s v="Sakit"/>
    <x v="0"/>
  </r>
  <r>
    <s v="2025-01-13"/>
    <s v="K008"/>
    <x v="7"/>
    <x v="32"/>
    <d v="1899-12-30T17:54:00"/>
    <s v="Terlambat"/>
    <x v="39"/>
  </r>
  <r>
    <s v="2025-01-13"/>
    <s v="K009"/>
    <x v="8"/>
    <x v="7"/>
    <d v="1899-12-30T17:21:00"/>
    <s v="Terlambat"/>
    <x v="6"/>
  </r>
  <r>
    <s v="2025-01-13"/>
    <s v="K010"/>
    <x v="9"/>
    <x v="0"/>
    <s v="-"/>
    <s v="Sakit"/>
    <x v="0"/>
  </r>
  <r>
    <s v="2025-01-14"/>
    <s v="K001"/>
    <x v="0"/>
    <x v="0"/>
    <s v="-"/>
    <s v="Izin"/>
    <x v="0"/>
  </r>
  <r>
    <s v="2025-01-14"/>
    <s v="K002"/>
    <x v="1"/>
    <x v="33"/>
    <d v="1899-12-30T17:35:00"/>
    <s v="Terlambat"/>
    <x v="40"/>
  </r>
  <r>
    <s v="2025-01-14"/>
    <s v="K003"/>
    <x v="2"/>
    <x v="34"/>
    <d v="1899-12-30T17:01:00"/>
    <s v="Terlambat"/>
    <x v="11"/>
  </r>
  <r>
    <s v="2025-01-14"/>
    <s v="K004"/>
    <x v="3"/>
    <x v="14"/>
    <d v="1899-12-30T17:07:00"/>
    <s v="Terlambat"/>
    <x v="41"/>
  </r>
  <r>
    <s v="2025-01-14"/>
    <s v="K005"/>
    <x v="4"/>
    <x v="0"/>
    <s v="-"/>
    <s v="Izin"/>
    <x v="0"/>
  </r>
  <r>
    <s v="2025-01-14"/>
    <s v="K006"/>
    <x v="5"/>
    <x v="32"/>
    <d v="1899-12-30T17:26:00"/>
    <s v="Hadir"/>
    <x v="42"/>
  </r>
  <r>
    <s v="2025-01-14"/>
    <s v="K007"/>
    <x v="6"/>
    <x v="0"/>
    <s v="-"/>
    <s v="Alfa"/>
    <x v="0"/>
  </r>
  <r>
    <s v="2025-01-14"/>
    <s v="K008"/>
    <x v="7"/>
    <x v="35"/>
    <d v="1899-12-30T17:59:00"/>
    <s v="Terlambat"/>
    <x v="29"/>
  </r>
  <r>
    <s v="2025-01-14"/>
    <s v="K009"/>
    <x v="8"/>
    <x v="0"/>
    <s v="-"/>
    <s v="Alfa"/>
    <x v="0"/>
  </r>
  <r>
    <s v="2025-01-14"/>
    <s v="K010"/>
    <x v="9"/>
    <x v="31"/>
    <d v="1899-12-30T17:55:00"/>
    <s v="Hadir"/>
    <x v="43"/>
  </r>
  <r>
    <s v="2025-01-15"/>
    <s v="K001"/>
    <x v="0"/>
    <x v="35"/>
    <d v="1899-12-30T17:19:00"/>
    <s v="Hadir"/>
    <x v="44"/>
  </r>
  <r>
    <s v="2025-01-15"/>
    <s v="K002"/>
    <x v="1"/>
    <x v="36"/>
    <d v="1899-12-30T17:38:00"/>
    <s v="Hadir"/>
    <x v="45"/>
  </r>
  <r>
    <s v="2025-01-15"/>
    <s v="K003"/>
    <x v="2"/>
    <x v="0"/>
    <s v="-"/>
    <s v="Alfa"/>
    <x v="0"/>
  </r>
  <r>
    <s v="2025-01-15"/>
    <s v="K004"/>
    <x v="3"/>
    <x v="26"/>
    <d v="1899-12-30T17:22:00"/>
    <s v="Hadir"/>
    <x v="46"/>
  </r>
  <r>
    <s v="2025-01-15"/>
    <s v="K005"/>
    <x v="4"/>
    <x v="0"/>
    <s v="-"/>
    <s v="Alfa"/>
    <x v="0"/>
  </r>
  <r>
    <s v="2025-01-15"/>
    <s v="K006"/>
    <x v="5"/>
    <x v="0"/>
    <s v="-"/>
    <s v="Sakit"/>
    <x v="0"/>
  </r>
  <r>
    <s v="2025-01-15"/>
    <s v="K007"/>
    <x v="6"/>
    <x v="0"/>
    <s v="-"/>
    <s v="Sakit"/>
    <x v="0"/>
  </r>
  <r>
    <s v="2025-01-15"/>
    <s v="K008"/>
    <x v="7"/>
    <x v="37"/>
    <d v="1899-12-30T17:53:00"/>
    <s v="Terlambat"/>
    <x v="5"/>
  </r>
  <r>
    <s v="2025-01-15"/>
    <s v="K009"/>
    <x v="8"/>
    <x v="0"/>
    <s v="-"/>
    <s v="Alfa"/>
    <x v="0"/>
  </r>
  <r>
    <s v="2025-01-15"/>
    <s v="K010"/>
    <x v="9"/>
    <x v="0"/>
    <s v="-"/>
    <s v="Alfa"/>
    <x v="0"/>
  </r>
  <r>
    <s v="2025-01-16"/>
    <s v="K001"/>
    <x v="0"/>
    <x v="38"/>
    <d v="1899-12-30T17:16:00"/>
    <s v="Terlambat"/>
    <x v="47"/>
  </r>
  <r>
    <s v="2025-01-16"/>
    <s v="K002"/>
    <x v="1"/>
    <x v="0"/>
    <s v="-"/>
    <s v="Alfa"/>
    <x v="0"/>
  </r>
  <r>
    <s v="2025-01-16"/>
    <s v="K003"/>
    <x v="2"/>
    <x v="0"/>
    <s v="-"/>
    <s v="Sakit"/>
    <x v="0"/>
  </r>
  <r>
    <s v="2025-01-16"/>
    <s v="K004"/>
    <x v="3"/>
    <x v="11"/>
    <d v="1899-12-30T17:22:00"/>
    <s v="Hadir"/>
    <x v="48"/>
  </r>
  <r>
    <s v="2025-01-16"/>
    <s v="K005"/>
    <x v="4"/>
    <x v="0"/>
    <s v="-"/>
    <s v="Izin"/>
    <x v="0"/>
  </r>
  <r>
    <s v="2025-01-16"/>
    <s v="K006"/>
    <x v="5"/>
    <x v="0"/>
    <s v="-"/>
    <s v="Izin"/>
    <x v="0"/>
  </r>
  <r>
    <s v="2025-01-16"/>
    <s v="K007"/>
    <x v="6"/>
    <x v="10"/>
    <d v="1899-12-30T17:58:00"/>
    <s v="Terlambat"/>
    <x v="49"/>
  </r>
  <r>
    <s v="2025-01-16"/>
    <s v="K008"/>
    <x v="7"/>
    <x v="0"/>
    <s v="-"/>
    <s v="Alfa"/>
    <x v="0"/>
  </r>
  <r>
    <s v="2025-01-16"/>
    <s v="K009"/>
    <x v="8"/>
    <x v="39"/>
    <d v="1899-12-30T17:15:00"/>
    <s v="Hadir"/>
    <x v="25"/>
  </r>
  <r>
    <s v="2025-01-16"/>
    <s v="K010"/>
    <x v="9"/>
    <x v="14"/>
    <d v="1899-12-30T17:42:00"/>
    <s v="Hadir"/>
    <x v="20"/>
  </r>
  <r>
    <s v="2025-01-17"/>
    <s v="K001"/>
    <x v="0"/>
    <x v="0"/>
    <s v="-"/>
    <s v="Sakit"/>
    <x v="0"/>
  </r>
  <r>
    <s v="2025-01-17"/>
    <s v="K002"/>
    <x v="1"/>
    <x v="40"/>
    <d v="1899-12-30T17:37:00"/>
    <s v="Hadir"/>
    <x v="5"/>
  </r>
  <r>
    <s v="2025-01-17"/>
    <s v="K003"/>
    <x v="2"/>
    <x v="0"/>
    <s v="-"/>
    <s v="Izin"/>
    <x v="0"/>
  </r>
  <r>
    <s v="2025-01-17"/>
    <s v="K004"/>
    <x v="3"/>
    <x v="41"/>
    <d v="1899-12-30T17:22:00"/>
    <s v="Hadir"/>
    <x v="50"/>
  </r>
  <r>
    <s v="2025-01-17"/>
    <s v="K005"/>
    <x v="4"/>
    <x v="5"/>
    <d v="1899-12-30T17:38:00"/>
    <s v="Hadir"/>
    <x v="33"/>
  </r>
  <r>
    <s v="2025-01-17"/>
    <s v="K006"/>
    <x v="5"/>
    <x v="0"/>
    <s v="-"/>
    <s v="Alfa"/>
    <x v="0"/>
  </r>
  <r>
    <s v="2025-01-17"/>
    <s v="K007"/>
    <x v="6"/>
    <x v="42"/>
    <d v="1899-12-30T17:01:00"/>
    <s v="Terlambat"/>
    <x v="31"/>
  </r>
  <r>
    <s v="2025-01-17"/>
    <s v="K008"/>
    <x v="7"/>
    <x v="14"/>
    <d v="1899-12-30T17:27:00"/>
    <s v="Hadir"/>
    <x v="9"/>
  </r>
  <r>
    <s v="2025-01-17"/>
    <s v="K009"/>
    <x v="8"/>
    <x v="38"/>
    <d v="1899-12-30T17:37:00"/>
    <s v="Hadir"/>
    <x v="51"/>
  </r>
  <r>
    <s v="2025-01-17"/>
    <s v="K010"/>
    <x v="9"/>
    <x v="0"/>
    <s v="-"/>
    <s v="Alfa"/>
    <x v="0"/>
  </r>
  <r>
    <s v="2025-01-18"/>
    <s v="K001"/>
    <x v="0"/>
    <x v="43"/>
    <d v="1899-12-30T17:44:00"/>
    <s v="Terlambat"/>
    <x v="33"/>
  </r>
  <r>
    <s v="2025-01-18"/>
    <s v="K002"/>
    <x v="1"/>
    <x v="38"/>
    <d v="1899-12-30T17:06:00"/>
    <s v="Terlambat"/>
    <x v="23"/>
  </r>
  <r>
    <s v="2025-01-18"/>
    <s v="K003"/>
    <x v="2"/>
    <x v="0"/>
    <s v="-"/>
    <s v="Alfa"/>
    <x v="0"/>
  </r>
  <r>
    <s v="2025-01-18"/>
    <s v="K004"/>
    <x v="3"/>
    <x v="0"/>
    <s v="-"/>
    <s v="Izin"/>
    <x v="0"/>
  </r>
  <r>
    <s v="2025-01-18"/>
    <s v="K005"/>
    <x v="4"/>
    <x v="44"/>
    <d v="1899-12-30T17:19:00"/>
    <s v="Terlambat"/>
    <x v="20"/>
  </r>
  <r>
    <s v="2025-01-18"/>
    <s v="K006"/>
    <x v="5"/>
    <x v="0"/>
    <s v="-"/>
    <s v="Alfa"/>
    <x v="0"/>
  </r>
  <r>
    <s v="2025-01-18"/>
    <s v="K007"/>
    <x v="6"/>
    <x v="0"/>
    <s v="-"/>
    <s v="Izin"/>
    <x v="0"/>
  </r>
  <r>
    <s v="2025-01-18"/>
    <s v="K008"/>
    <x v="7"/>
    <x v="42"/>
    <d v="1899-12-30T17:56:00"/>
    <s v="Hadir"/>
    <x v="42"/>
  </r>
  <r>
    <s v="2025-01-18"/>
    <s v="K009"/>
    <x v="8"/>
    <x v="0"/>
    <s v="-"/>
    <s v="Izin"/>
    <x v="0"/>
  </r>
  <r>
    <s v="2025-01-18"/>
    <s v="K010"/>
    <x v="9"/>
    <x v="0"/>
    <s v="-"/>
    <s v="Izin"/>
    <x v="0"/>
  </r>
  <r>
    <s v="2025-01-19"/>
    <s v="K001"/>
    <x v="0"/>
    <x v="0"/>
    <s v="-"/>
    <s v="Sakit"/>
    <x v="0"/>
  </r>
  <r>
    <s v="2025-01-19"/>
    <s v="K002"/>
    <x v="1"/>
    <x v="0"/>
    <s v="-"/>
    <s v="Alfa"/>
    <x v="0"/>
  </r>
  <r>
    <s v="2025-01-19"/>
    <s v="K003"/>
    <x v="2"/>
    <x v="45"/>
    <d v="1899-12-30T17:11:00"/>
    <s v="Terlambat"/>
    <x v="52"/>
  </r>
  <r>
    <s v="2025-01-19"/>
    <s v="K004"/>
    <x v="3"/>
    <x v="0"/>
    <s v="-"/>
    <s v="Alfa"/>
    <x v="0"/>
  </r>
  <r>
    <s v="2025-01-19"/>
    <s v="K005"/>
    <x v="4"/>
    <x v="7"/>
    <d v="1899-12-30T17:19:00"/>
    <s v="Hadir"/>
    <x v="21"/>
  </r>
  <r>
    <s v="2025-01-19"/>
    <s v="K006"/>
    <x v="5"/>
    <x v="46"/>
    <d v="1899-12-30T17:09:00"/>
    <s v="Hadir"/>
    <x v="53"/>
  </r>
  <r>
    <s v="2025-01-19"/>
    <s v="K007"/>
    <x v="6"/>
    <x v="0"/>
    <s v="-"/>
    <s v="Izin"/>
    <x v="0"/>
  </r>
  <r>
    <s v="2025-01-19"/>
    <s v="K008"/>
    <x v="7"/>
    <x v="0"/>
    <s v="-"/>
    <s v="Izin"/>
    <x v="0"/>
  </r>
  <r>
    <s v="2025-01-19"/>
    <s v="K009"/>
    <x v="8"/>
    <x v="13"/>
    <d v="1899-12-30T17:19:00"/>
    <s v="Terlambat"/>
    <x v="54"/>
  </r>
  <r>
    <s v="2025-01-19"/>
    <s v="K010"/>
    <x v="9"/>
    <x v="0"/>
    <s v="-"/>
    <s v="Sakit"/>
    <x v="0"/>
  </r>
  <r>
    <s v="2025-01-20"/>
    <s v="K001"/>
    <x v="0"/>
    <x v="38"/>
    <d v="1899-12-30T17:21:00"/>
    <s v="Terlambat"/>
    <x v="32"/>
  </r>
  <r>
    <s v="2025-01-20"/>
    <s v="K002"/>
    <x v="1"/>
    <x v="34"/>
    <d v="1899-12-30T17:33:00"/>
    <s v="Hadir"/>
    <x v="51"/>
  </r>
  <r>
    <s v="2025-01-20"/>
    <s v="K003"/>
    <x v="2"/>
    <x v="0"/>
    <s v="-"/>
    <s v="Sakit"/>
    <x v="0"/>
  </r>
  <r>
    <s v="2025-01-20"/>
    <s v="K004"/>
    <x v="3"/>
    <x v="0"/>
    <s v="-"/>
    <s v="Alfa"/>
    <x v="0"/>
  </r>
  <r>
    <s v="2025-01-20"/>
    <s v="K005"/>
    <x v="4"/>
    <x v="47"/>
    <d v="1899-12-30T17:54:00"/>
    <s v="Terlambat"/>
    <x v="47"/>
  </r>
  <r>
    <s v="2025-01-20"/>
    <s v="K006"/>
    <x v="5"/>
    <x v="0"/>
    <s v="-"/>
    <s v="Izin"/>
    <x v="0"/>
  </r>
  <r>
    <s v="2025-01-20"/>
    <s v="K007"/>
    <x v="6"/>
    <x v="10"/>
    <d v="1899-12-30T17:19:00"/>
    <s v="Hadir"/>
    <x v="32"/>
  </r>
  <r>
    <s v="2025-01-20"/>
    <s v="K008"/>
    <x v="7"/>
    <x v="48"/>
    <d v="1899-12-30T17:36:00"/>
    <s v="Hadir"/>
    <x v="3"/>
  </r>
  <r>
    <s v="2025-01-20"/>
    <s v="K009"/>
    <x v="8"/>
    <x v="0"/>
    <s v="-"/>
    <s v="Sakit"/>
    <x v="0"/>
  </r>
  <r>
    <s v="2025-01-20"/>
    <s v="K010"/>
    <x v="9"/>
    <x v="0"/>
    <s v="-"/>
    <s v="Alfa"/>
    <x v="0"/>
  </r>
  <r>
    <s v="2025-01-21"/>
    <s v="K001"/>
    <x v="0"/>
    <x v="0"/>
    <s v="-"/>
    <s v="Izin"/>
    <x v="0"/>
  </r>
  <r>
    <s v="2025-01-21"/>
    <s v="K002"/>
    <x v="1"/>
    <x v="0"/>
    <s v="-"/>
    <s v="Sakit"/>
    <x v="0"/>
  </r>
  <r>
    <s v="2025-01-21"/>
    <s v="K003"/>
    <x v="2"/>
    <x v="0"/>
    <s v="-"/>
    <s v="Izin"/>
    <x v="0"/>
  </r>
  <r>
    <s v="2025-01-21"/>
    <s v="K004"/>
    <x v="3"/>
    <x v="49"/>
    <d v="1899-12-30T17:47:00"/>
    <s v="Terlambat"/>
    <x v="34"/>
  </r>
  <r>
    <s v="2025-01-21"/>
    <s v="K005"/>
    <x v="4"/>
    <x v="39"/>
    <d v="1899-12-30T17:45:00"/>
    <s v="Terlambat"/>
    <x v="28"/>
  </r>
  <r>
    <s v="2025-01-21"/>
    <s v="K006"/>
    <x v="5"/>
    <x v="0"/>
    <s v="-"/>
    <s v="Sakit"/>
    <x v="0"/>
  </r>
  <r>
    <s v="2025-01-21"/>
    <s v="K007"/>
    <x v="6"/>
    <x v="0"/>
    <s v="-"/>
    <s v="Sakit"/>
    <x v="0"/>
  </r>
  <r>
    <s v="2025-01-21"/>
    <s v="K008"/>
    <x v="7"/>
    <x v="0"/>
    <s v="-"/>
    <s v="Sakit"/>
    <x v="0"/>
  </r>
  <r>
    <s v="2025-01-21"/>
    <s v="K009"/>
    <x v="8"/>
    <x v="0"/>
    <s v="-"/>
    <s v="Alfa"/>
    <x v="0"/>
  </r>
  <r>
    <s v="2025-01-21"/>
    <s v="K010"/>
    <x v="9"/>
    <x v="0"/>
    <s v="-"/>
    <s v="Sakit"/>
    <x v="0"/>
  </r>
  <r>
    <s v="2025-01-22"/>
    <s v="K001"/>
    <x v="0"/>
    <x v="0"/>
    <s v="-"/>
    <s v="Sakit"/>
    <x v="0"/>
  </r>
  <r>
    <s v="2025-01-22"/>
    <s v="K002"/>
    <x v="1"/>
    <x v="0"/>
    <s v="-"/>
    <s v="Alfa"/>
    <x v="0"/>
  </r>
  <r>
    <s v="2025-01-22"/>
    <s v="K003"/>
    <x v="2"/>
    <x v="0"/>
    <s v="-"/>
    <s v="Sakit"/>
    <x v="0"/>
  </r>
  <r>
    <s v="2025-01-22"/>
    <s v="K004"/>
    <x v="3"/>
    <x v="10"/>
    <d v="1899-12-30T17:37:00"/>
    <s v="Hadir"/>
    <x v="55"/>
  </r>
  <r>
    <s v="2025-01-22"/>
    <s v="K005"/>
    <x v="4"/>
    <x v="0"/>
    <s v="-"/>
    <s v="Izin"/>
    <x v="0"/>
  </r>
  <r>
    <s v="2025-01-22"/>
    <s v="K006"/>
    <x v="5"/>
    <x v="0"/>
    <s v="-"/>
    <s v="Sakit"/>
    <x v="0"/>
  </r>
  <r>
    <s v="2025-01-22"/>
    <s v="K007"/>
    <x v="6"/>
    <x v="0"/>
    <s v="-"/>
    <s v="Izin"/>
    <x v="0"/>
  </r>
  <r>
    <s v="2025-01-22"/>
    <s v="K008"/>
    <x v="7"/>
    <x v="8"/>
    <d v="1899-12-30T17:19:00"/>
    <s v="Hadir"/>
    <x v="11"/>
  </r>
  <r>
    <s v="2025-01-22"/>
    <s v="K009"/>
    <x v="8"/>
    <x v="0"/>
    <s v="-"/>
    <s v="Sakit"/>
    <x v="0"/>
  </r>
  <r>
    <s v="2025-01-22"/>
    <s v="K010"/>
    <x v="9"/>
    <x v="48"/>
    <d v="1899-12-30T17:29:00"/>
    <s v="Hadir"/>
    <x v="21"/>
  </r>
  <r>
    <s v="2025-01-23"/>
    <s v="K001"/>
    <x v="0"/>
    <x v="0"/>
    <s v="-"/>
    <s v="Izin"/>
    <x v="0"/>
  </r>
  <r>
    <s v="2025-01-23"/>
    <s v="K002"/>
    <x v="1"/>
    <x v="0"/>
    <s v="-"/>
    <s v="Alfa"/>
    <x v="0"/>
  </r>
  <r>
    <s v="2025-01-23"/>
    <s v="K003"/>
    <x v="2"/>
    <x v="50"/>
    <d v="1899-12-30T17:34:00"/>
    <s v="Hadir"/>
    <x v="1"/>
  </r>
  <r>
    <s v="2025-01-23"/>
    <s v="K004"/>
    <x v="3"/>
    <x v="0"/>
    <s v="-"/>
    <s v="Sakit"/>
    <x v="0"/>
  </r>
  <r>
    <s v="2025-01-23"/>
    <s v="K005"/>
    <x v="4"/>
    <x v="37"/>
    <d v="1899-12-30T17:42:00"/>
    <s v="Hadir"/>
    <x v="33"/>
  </r>
  <r>
    <s v="2025-01-23"/>
    <s v="K006"/>
    <x v="5"/>
    <x v="14"/>
    <d v="1899-12-30T17:12:00"/>
    <s v="Hadir"/>
    <x v="35"/>
  </r>
  <r>
    <s v="2025-01-23"/>
    <s v="K007"/>
    <x v="6"/>
    <x v="17"/>
    <d v="1899-12-30T17:50:00"/>
    <s v="Hadir"/>
    <x v="56"/>
  </r>
  <r>
    <s v="2025-01-23"/>
    <s v="K008"/>
    <x v="7"/>
    <x v="0"/>
    <s v="-"/>
    <s v="Izin"/>
    <x v="0"/>
  </r>
  <r>
    <s v="2025-01-23"/>
    <s v="K009"/>
    <x v="8"/>
    <x v="0"/>
    <s v="-"/>
    <s v="Sakit"/>
    <x v="0"/>
  </r>
  <r>
    <s v="2025-01-23"/>
    <s v="K010"/>
    <x v="9"/>
    <x v="28"/>
    <d v="1899-12-30T17:21:00"/>
    <s v="Hadir"/>
    <x v="50"/>
  </r>
  <r>
    <s v="2025-01-24"/>
    <s v="K001"/>
    <x v="0"/>
    <x v="19"/>
    <d v="1899-12-30T17:57:00"/>
    <s v="Terlambat"/>
    <x v="57"/>
  </r>
  <r>
    <s v="2025-01-24"/>
    <s v="K002"/>
    <x v="1"/>
    <x v="0"/>
    <s v="-"/>
    <s v="Izin"/>
    <x v="0"/>
  </r>
  <r>
    <s v="2025-01-24"/>
    <s v="K003"/>
    <x v="2"/>
    <x v="38"/>
    <d v="1899-12-30T17:53:00"/>
    <s v="Hadir"/>
    <x v="58"/>
  </r>
  <r>
    <s v="2025-01-24"/>
    <s v="K004"/>
    <x v="3"/>
    <x v="0"/>
    <s v="-"/>
    <s v="Izin"/>
    <x v="0"/>
  </r>
  <r>
    <s v="2025-01-24"/>
    <s v="K005"/>
    <x v="4"/>
    <x v="0"/>
    <s v="-"/>
    <s v="Sakit"/>
    <x v="0"/>
  </r>
  <r>
    <s v="2025-01-24"/>
    <s v="K006"/>
    <x v="5"/>
    <x v="0"/>
    <s v="-"/>
    <s v="Sakit"/>
    <x v="0"/>
  </r>
  <r>
    <s v="2025-01-24"/>
    <s v="K007"/>
    <x v="6"/>
    <x v="0"/>
    <s v="-"/>
    <s v="Sakit"/>
    <x v="0"/>
  </r>
  <r>
    <s v="2025-01-24"/>
    <s v="K008"/>
    <x v="7"/>
    <x v="8"/>
    <d v="1899-12-30T17:11:00"/>
    <s v="Hadir"/>
    <x v="36"/>
  </r>
  <r>
    <s v="2025-01-24"/>
    <s v="K009"/>
    <x v="8"/>
    <x v="0"/>
    <s v="-"/>
    <s v="Izin"/>
    <x v="0"/>
  </r>
  <r>
    <s v="2025-01-24"/>
    <s v="K010"/>
    <x v="9"/>
    <x v="0"/>
    <s v="-"/>
    <s v="Sakit"/>
    <x v="0"/>
  </r>
  <r>
    <s v="2025-01-25"/>
    <s v="K001"/>
    <x v="0"/>
    <x v="0"/>
    <s v="-"/>
    <s v="Izin"/>
    <x v="0"/>
  </r>
  <r>
    <s v="2025-01-25"/>
    <s v="K002"/>
    <x v="1"/>
    <x v="0"/>
    <s v="-"/>
    <s v="Alfa"/>
    <x v="0"/>
  </r>
  <r>
    <s v="2025-01-25"/>
    <s v="K003"/>
    <x v="2"/>
    <x v="33"/>
    <d v="1899-12-30T17:16:00"/>
    <s v="Terlambat"/>
    <x v="28"/>
  </r>
  <r>
    <s v="2025-01-25"/>
    <s v="K004"/>
    <x v="3"/>
    <x v="0"/>
    <s v="-"/>
    <s v="Sakit"/>
    <x v="0"/>
  </r>
  <r>
    <s v="2025-01-25"/>
    <s v="K005"/>
    <x v="4"/>
    <x v="0"/>
    <s v="-"/>
    <s v="Alfa"/>
    <x v="0"/>
  </r>
  <r>
    <s v="2025-01-25"/>
    <s v="K006"/>
    <x v="5"/>
    <x v="0"/>
    <s v="-"/>
    <s v="Sakit"/>
    <x v="0"/>
  </r>
  <r>
    <s v="2025-01-25"/>
    <s v="K007"/>
    <x v="6"/>
    <x v="51"/>
    <d v="1899-12-30T17:07:00"/>
    <s v="Hadir"/>
    <x v="12"/>
  </r>
  <r>
    <s v="2025-01-25"/>
    <s v="K008"/>
    <x v="7"/>
    <x v="0"/>
    <s v="-"/>
    <s v="Sakit"/>
    <x v="0"/>
  </r>
  <r>
    <s v="2025-01-25"/>
    <s v="K009"/>
    <x v="8"/>
    <x v="0"/>
    <s v="-"/>
    <s v="Sakit"/>
    <x v="0"/>
  </r>
  <r>
    <s v="2025-01-25"/>
    <s v="K010"/>
    <x v="9"/>
    <x v="41"/>
    <d v="1899-12-30T17:01:00"/>
    <s v="Hadir"/>
    <x v="23"/>
  </r>
  <r>
    <s v="2025-01-26"/>
    <s v="K001"/>
    <x v="0"/>
    <x v="0"/>
    <s v="-"/>
    <s v="Izin"/>
    <x v="0"/>
  </r>
  <r>
    <s v="2025-01-26"/>
    <s v="K002"/>
    <x v="1"/>
    <x v="52"/>
    <d v="1899-12-30T17:13:00"/>
    <s v="Terlambat"/>
    <x v="59"/>
  </r>
  <r>
    <s v="2025-01-26"/>
    <s v="K003"/>
    <x v="2"/>
    <x v="0"/>
    <s v="-"/>
    <s v="Sakit"/>
    <x v="0"/>
  </r>
  <r>
    <s v="2025-01-26"/>
    <s v="K004"/>
    <x v="3"/>
    <x v="0"/>
    <s v="-"/>
    <s v="Alfa"/>
    <x v="0"/>
  </r>
  <r>
    <s v="2025-01-26"/>
    <s v="K005"/>
    <x v="4"/>
    <x v="0"/>
    <s v="-"/>
    <s v="Alfa"/>
    <x v="0"/>
  </r>
  <r>
    <s v="2025-01-26"/>
    <s v="K006"/>
    <x v="5"/>
    <x v="0"/>
    <s v="-"/>
    <s v="Alfa"/>
    <x v="0"/>
  </r>
  <r>
    <s v="2025-01-26"/>
    <s v="K007"/>
    <x v="6"/>
    <x v="53"/>
    <d v="1899-12-30T17:48:00"/>
    <s v="Terlambat"/>
    <x v="9"/>
  </r>
  <r>
    <s v="2025-01-26"/>
    <s v="K008"/>
    <x v="7"/>
    <x v="0"/>
    <s v="-"/>
    <s v="Izin"/>
    <x v="0"/>
  </r>
  <r>
    <s v="2025-01-26"/>
    <s v="K009"/>
    <x v="8"/>
    <x v="0"/>
    <s v="-"/>
    <s v="Izin"/>
    <x v="0"/>
  </r>
  <r>
    <s v="2025-01-26"/>
    <s v="K010"/>
    <x v="9"/>
    <x v="0"/>
    <s v="-"/>
    <s v="Alfa"/>
    <x v="0"/>
  </r>
  <r>
    <s v="2025-01-27"/>
    <s v="K001"/>
    <x v="0"/>
    <x v="48"/>
    <d v="1899-12-30T17:55:00"/>
    <s v="Terlambat"/>
    <x v="60"/>
  </r>
  <r>
    <s v="2025-01-27"/>
    <s v="K002"/>
    <x v="1"/>
    <x v="15"/>
    <d v="1899-12-30T17:44:00"/>
    <s v="Hadir"/>
    <x v="61"/>
  </r>
  <r>
    <s v="2025-01-27"/>
    <s v="K003"/>
    <x v="2"/>
    <x v="0"/>
    <s v="-"/>
    <s v="Izin"/>
    <x v="0"/>
  </r>
  <r>
    <s v="2025-01-27"/>
    <s v="K004"/>
    <x v="3"/>
    <x v="47"/>
    <d v="1899-12-30T17:22:00"/>
    <s v="Hadir"/>
    <x v="62"/>
  </r>
  <r>
    <s v="2025-01-27"/>
    <s v="K005"/>
    <x v="4"/>
    <x v="20"/>
    <d v="1899-12-30T17:31:00"/>
    <s v="Terlambat"/>
    <x v="5"/>
  </r>
  <r>
    <s v="2025-01-27"/>
    <s v="K006"/>
    <x v="5"/>
    <x v="32"/>
    <d v="1899-12-30T17:23:00"/>
    <s v="Hadir"/>
    <x v="34"/>
  </r>
  <r>
    <s v="2025-01-27"/>
    <s v="K007"/>
    <x v="6"/>
    <x v="0"/>
    <s v="-"/>
    <s v="Sakit"/>
    <x v="0"/>
  </r>
  <r>
    <s v="2025-01-27"/>
    <s v="K008"/>
    <x v="7"/>
    <x v="0"/>
    <s v="-"/>
    <s v="Alfa"/>
    <x v="0"/>
  </r>
  <r>
    <s v="2025-01-27"/>
    <s v="K009"/>
    <x v="8"/>
    <x v="0"/>
    <s v="-"/>
    <s v="Izin"/>
    <x v="0"/>
  </r>
  <r>
    <s v="2025-01-27"/>
    <s v="K010"/>
    <x v="9"/>
    <x v="0"/>
    <s v="-"/>
    <s v="Alfa"/>
    <x v="0"/>
  </r>
  <r>
    <s v="2025-01-28"/>
    <s v="K001"/>
    <x v="0"/>
    <x v="0"/>
    <s v="-"/>
    <s v="Sakit"/>
    <x v="0"/>
  </r>
  <r>
    <s v="2025-01-28"/>
    <s v="K002"/>
    <x v="1"/>
    <x v="0"/>
    <s v="-"/>
    <s v="Alfa"/>
    <x v="0"/>
  </r>
  <r>
    <s v="2025-01-28"/>
    <s v="K003"/>
    <x v="2"/>
    <x v="42"/>
    <d v="1899-12-30T17:16:00"/>
    <s v="Terlambat"/>
    <x v="17"/>
  </r>
  <r>
    <s v="2025-01-28"/>
    <s v="K004"/>
    <x v="3"/>
    <x v="0"/>
    <s v="-"/>
    <s v="Alfa"/>
    <x v="0"/>
  </r>
  <r>
    <s v="2025-01-28"/>
    <s v="K005"/>
    <x v="4"/>
    <x v="0"/>
    <s v="-"/>
    <s v="Sakit"/>
    <x v="0"/>
  </r>
  <r>
    <s v="2025-01-28"/>
    <s v="K006"/>
    <x v="5"/>
    <x v="0"/>
    <s v="-"/>
    <s v="Sakit"/>
    <x v="0"/>
  </r>
  <r>
    <s v="2025-01-28"/>
    <s v="K007"/>
    <x v="6"/>
    <x v="0"/>
    <s v="-"/>
    <s v="Izin"/>
    <x v="0"/>
  </r>
  <r>
    <s v="2025-01-28"/>
    <s v="K008"/>
    <x v="7"/>
    <x v="0"/>
    <s v="-"/>
    <s v="Sakit"/>
    <x v="0"/>
  </r>
  <r>
    <s v="2025-01-28"/>
    <s v="K009"/>
    <x v="8"/>
    <x v="0"/>
    <s v="-"/>
    <s v="Sakit"/>
    <x v="0"/>
  </r>
  <r>
    <s v="2025-01-28"/>
    <s v="K010"/>
    <x v="9"/>
    <x v="0"/>
    <s v="-"/>
    <s v="Sakit"/>
    <x v="0"/>
  </r>
  <r>
    <s v="2025-01-29"/>
    <s v="K001"/>
    <x v="0"/>
    <x v="48"/>
    <d v="1899-12-30T17:00:00"/>
    <s v="Hadir"/>
    <x v="36"/>
  </r>
  <r>
    <s v="2025-01-29"/>
    <s v="K002"/>
    <x v="1"/>
    <x v="0"/>
    <s v="-"/>
    <s v="Izin"/>
    <x v="0"/>
  </r>
  <r>
    <s v="2025-01-29"/>
    <s v="K003"/>
    <x v="2"/>
    <x v="0"/>
    <s v="-"/>
    <s v="Sakit"/>
    <x v="0"/>
  </r>
  <r>
    <s v="2025-01-29"/>
    <s v="K004"/>
    <x v="3"/>
    <x v="24"/>
    <d v="1899-12-30T17:27:00"/>
    <s v="Hadir"/>
    <x v="63"/>
  </r>
  <r>
    <s v="2025-01-29"/>
    <s v="K005"/>
    <x v="4"/>
    <x v="0"/>
    <s v="-"/>
    <s v="Alfa"/>
    <x v="0"/>
  </r>
  <r>
    <s v="2025-01-29"/>
    <s v="K006"/>
    <x v="5"/>
    <x v="0"/>
    <s v="-"/>
    <s v="Alfa"/>
    <x v="0"/>
  </r>
  <r>
    <s v="2025-01-29"/>
    <s v="K007"/>
    <x v="6"/>
    <x v="37"/>
    <d v="1899-12-30T17:46:00"/>
    <s v="Hadir"/>
    <x v="7"/>
  </r>
  <r>
    <s v="2025-01-29"/>
    <s v="K008"/>
    <x v="7"/>
    <x v="0"/>
    <s v="-"/>
    <s v="Alfa"/>
    <x v="0"/>
  </r>
  <r>
    <s v="2025-01-29"/>
    <s v="K009"/>
    <x v="8"/>
    <x v="0"/>
    <s v="-"/>
    <s v="Alfa"/>
    <x v="0"/>
  </r>
  <r>
    <s v="2025-01-29"/>
    <s v="K010"/>
    <x v="9"/>
    <x v="0"/>
    <s v="-"/>
    <s v="Alfa"/>
    <x v="0"/>
  </r>
  <r>
    <s v="2025-01-30"/>
    <s v="K001"/>
    <x v="0"/>
    <x v="0"/>
    <s v="-"/>
    <s v="Alfa"/>
    <x v="0"/>
  </r>
  <r>
    <s v="2025-01-30"/>
    <s v="K002"/>
    <x v="1"/>
    <x v="0"/>
    <s v="-"/>
    <s v="Izin"/>
    <x v="0"/>
  </r>
  <r>
    <s v="2025-01-30"/>
    <s v="K003"/>
    <x v="2"/>
    <x v="54"/>
    <d v="1899-12-30T17:58:00"/>
    <s v="Terlambat"/>
    <x v="32"/>
  </r>
  <r>
    <s v="2025-01-30"/>
    <s v="K004"/>
    <x v="3"/>
    <x v="0"/>
    <s v="-"/>
    <s v="Izin"/>
    <x v="0"/>
  </r>
  <r>
    <s v="2025-01-30"/>
    <s v="K005"/>
    <x v="4"/>
    <x v="0"/>
    <s v="-"/>
    <s v="Alfa"/>
    <x v="0"/>
  </r>
  <r>
    <s v="2025-01-30"/>
    <s v="K006"/>
    <x v="5"/>
    <x v="0"/>
    <s v="-"/>
    <s v="Sakit"/>
    <x v="0"/>
  </r>
  <r>
    <s v="2025-01-30"/>
    <s v="K007"/>
    <x v="6"/>
    <x v="0"/>
    <s v="-"/>
    <s v="Izin"/>
    <x v="0"/>
  </r>
  <r>
    <s v="2025-01-30"/>
    <s v="K008"/>
    <x v="7"/>
    <x v="26"/>
    <d v="1899-12-30T17:31:00"/>
    <s v="Hadir"/>
    <x v="44"/>
  </r>
  <r>
    <s v="2025-01-30"/>
    <s v="K009"/>
    <x v="8"/>
    <x v="55"/>
    <d v="1899-12-30T17:02:00"/>
    <s v="Hadir"/>
    <x v="64"/>
  </r>
  <r>
    <s v="2025-01-30"/>
    <s v="K010"/>
    <x v="9"/>
    <x v="56"/>
    <d v="1899-12-30T17:01:00"/>
    <s v="Hadir"/>
    <x v="65"/>
  </r>
  <r>
    <s v="2025-01-31"/>
    <s v="K001"/>
    <x v="0"/>
    <x v="0"/>
    <s v="-"/>
    <s v="Alfa"/>
    <x v="0"/>
  </r>
  <r>
    <s v="2025-01-31"/>
    <s v="K002"/>
    <x v="1"/>
    <x v="0"/>
    <s v="-"/>
    <s v="Alfa"/>
    <x v="0"/>
  </r>
  <r>
    <s v="2025-01-31"/>
    <s v="K003"/>
    <x v="2"/>
    <x v="13"/>
    <d v="1899-12-30T17:48:00"/>
    <s v="Terlambat"/>
    <x v="66"/>
  </r>
  <r>
    <s v="2025-01-31"/>
    <s v="K004"/>
    <x v="3"/>
    <x v="19"/>
    <d v="1899-12-30T17:56:00"/>
    <s v="Terlambat"/>
    <x v="67"/>
  </r>
  <r>
    <s v="2025-01-31"/>
    <s v="K005"/>
    <x v="4"/>
    <x v="0"/>
    <s v="-"/>
    <s v="Alfa"/>
    <x v="0"/>
  </r>
  <r>
    <s v="2025-01-31"/>
    <s v="K006"/>
    <x v="5"/>
    <x v="0"/>
    <s v="-"/>
    <s v="Izin"/>
    <x v="0"/>
  </r>
  <r>
    <s v="2025-01-31"/>
    <s v="K007"/>
    <x v="6"/>
    <x v="13"/>
    <d v="1899-12-30T17:50:00"/>
    <s v="Hadir"/>
    <x v="40"/>
  </r>
  <r>
    <s v="2025-01-31"/>
    <s v="K008"/>
    <x v="7"/>
    <x v="0"/>
    <s v="-"/>
    <s v="Sakit"/>
    <x v="0"/>
  </r>
  <r>
    <s v="2025-01-31"/>
    <s v="K009"/>
    <x v="8"/>
    <x v="8"/>
    <d v="1899-12-30T17:57:00"/>
    <s v="Terlambat"/>
    <x v="68"/>
  </r>
  <r>
    <s v="2025-01-31"/>
    <s v="K010"/>
    <x v="9"/>
    <x v="0"/>
    <s v="-"/>
    <s v="Alf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EBBEBE-E3A2-4EB6-9AE1-ADC28B87E9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Nama">
  <location ref="J4:K14" firstHeaderRow="1" firstDataRow="1" firstDataCol="1"/>
  <pivotFields count="7">
    <pivotField showAll="0"/>
    <pivotField showAll="0"/>
    <pivotField axis="axisRow" showAll="0">
      <items count="11">
        <item x="0"/>
        <item x="1"/>
        <item x="2"/>
        <item x="3"/>
        <item x="4"/>
        <item x="5"/>
        <item x="6"/>
        <item x="7"/>
        <item x="8"/>
        <item x="9"/>
        <item t="default"/>
      </items>
    </pivotField>
    <pivotField showAll="0"/>
    <pivotField showAll="0"/>
    <pivotField showAll="0"/>
    <pivotField dataField="1" showAll="0">
      <items count="71">
        <item m="1" x="69"/>
        <item x="0"/>
        <item x="65"/>
        <item x="16"/>
        <item x="52"/>
        <item x="18"/>
        <item x="59"/>
        <item x="46"/>
        <item x="62"/>
        <item x="63"/>
        <item x="31"/>
        <item x="24"/>
        <item x="48"/>
        <item x="12"/>
        <item x="2"/>
        <item x="44"/>
        <item x="64"/>
        <item x="37"/>
        <item x="41"/>
        <item x="36"/>
        <item x="35"/>
        <item x="17"/>
        <item x="25"/>
        <item x="53"/>
        <item x="11"/>
        <item x="23"/>
        <item x="15"/>
        <item x="45"/>
        <item x="61"/>
        <item x="1"/>
        <item x="26"/>
        <item x="9"/>
        <item x="47"/>
        <item x="33"/>
        <item x="54"/>
        <item x="32"/>
        <item x="7"/>
        <item x="8"/>
        <item x="4"/>
        <item x="21"/>
        <item x="50"/>
        <item x="6"/>
        <item x="5"/>
        <item x="20"/>
        <item x="29"/>
        <item x="28"/>
        <item x="3"/>
        <item x="51"/>
        <item x="34"/>
        <item x="55"/>
        <item x="19"/>
        <item x="42"/>
        <item x="68"/>
        <item x="27"/>
        <item x="14"/>
        <item x="66"/>
        <item x="30"/>
        <item x="40"/>
        <item x="60"/>
        <item x="58"/>
        <item x="22"/>
        <item x="10"/>
        <item x="49"/>
        <item x="13"/>
        <item x="56"/>
        <item x="67"/>
        <item x="57"/>
        <item x="43"/>
        <item x="38"/>
        <item x="39"/>
        <item t="default"/>
      </items>
    </pivotField>
  </pivotFields>
  <rowFields count="1">
    <field x="2"/>
  </rowFields>
  <rowItems count="10">
    <i>
      <x/>
    </i>
    <i>
      <x v="1"/>
    </i>
    <i>
      <x v="2"/>
    </i>
    <i>
      <x v="3"/>
    </i>
    <i>
      <x v="4"/>
    </i>
    <i>
      <x v="5"/>
    </i>
    <i>
      <x v="6"/>
    </i>
    <i>
      <x v="7"/>
    </i>
    <i>
      <x v="8"/>
    </i>
    <i>
      <x v="9"/>
    </i>
  </rowItems>
  <colItems count="1">
    <i/>
  </colItems>
  <dataFields count="1">
    <dataField name="Sum of Total Jam Kerja" fld="6" baseField="2" baseItem="0" numFmtId="164"/>
  </dataFields>
  <formats count="5">
    <format dxfId="57">
      <pivotArea collapsedLevelsAreSubtotals="1" fieldPosition="0">
        <references count="1">
          <reference field="2" count="1">
            <x v="0"/>
          </reference>
        </references>
      </pivotArea>
    </format>
    <format dxfId="58">
      <pivotArea outline="0" collapsedLevelsAreSubtotals="1" fieldPosition="0"/>
    </format>
    <format dxfId="59">
      <pivotArea dataOnly="0" labelOnly="1" fieldPosition="0">
        <references count="1">
          <reference field="2" count="0"/>
        </references>
      </pivotArea>
    </format>
    <format dxfId="60">
      <pivotArea outline="0" collapsedLevelsAreSubtotals="1" fieldPosition="0"/>
    </format>
    <format dxfId="6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D1F8E-24DE-48F8-8AA5-E5C76C09ED83}"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Nama">
  <location ref="A4:C7" firstHeaderRow="1" firstDataRow="2" firstDataCol="1"/>
  <pivotFields count="4">
    <pivotField axis="axisRow" allDrilled="1" subtotalTop="0" showAll="0" dataSourceSort="1" defaultSubtotal="0" defaultAttributeDrillState="1">
      <items count="8">
        <item s="1" x="0"/>
        <item x="1"/>
        <item x="2"/>
        <item x="3"/>
        <item x="4"/>
        <item x="5"/>
        <item x="6"/>
        <item x="7"/>
      </items>
    </pivotField>
    <pivotField dataField="1" subtotalTop="0" showAll="0" defaultSubtotal="0"/>
    <pivotField axis="axisCol" allDrilled="1" subtotalTop="0" showAll="0" dataSourceSort="1" defaultSubtotal="0" defaultAttributeDrillState="1">
      <items count="5">
        <item s="1" x="0"/>
        <item s="1" x="1"/>
        <item x="2"/>
        <item x="3"/>
        <item x="4"/>
      </items>
    </pivotField>
    <pivotField allDrilled="1" subtotalTop="0" showAll="0" dataSourceSort="1" defaultSubtotal="0" defaultAttributeDrillState="1"/>
  </pivotFields>
  <rowFields count="1">
    <field x="0"/>
  </rowFields>
  <rowItems count="2">
    <i>
      <x/>
    </i>
    <i t="grand">
      <x/>
    </i>
  </rowItems>
  <colFields count="1">
    <field x="2"/>
  </colFields>
  <colItems count="2">
    <i>
      <x/>
    </i>
    <i t="grand">
      <x/>
    </i>
  </colItems>
  <dataFields count="1">
    <dataField name="Count of Status" fld="1" subtotal="count" baseField="0" baseItem="0"/>
  </dataFields>
  <formats count="7">
    <format dxfId="68">
      <pivotArea outline="0" collapsedLevelsAreSubtotals="1" fieldPosition="0"/>
    </format>
    <format dxfId="67">
      <pivotArea dataOnly="0" labelOnly="1" fieldPosition="0">
        <references count="1">
          <reference field="0" count="0"/>
        </references>
      </pivotArea>
    </format>
    <format dxfId="66">
      <pivotArea dataOnly="0" labelOnly="1" grandRow="1" outline="0" fieldPosition="0"/>
    </format>
    <format dxfId="65">
      <pivotArea collapsedLevelsAreSubtotals="1" fieldPosition="0">
        <references count="2">
          <reference field="0" count="0"/>
          <reference field="2" count="0" selected="0"/>
        </references>
      </pivotArea>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fieldPosition="0">
        <references count="1">
          <reference field="2" count="0"/>
        </references>
      </pivotArea>
    </format>
  </formats>
  <chartFormats count="55">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3"/>
          </reference>
        </references>
      </pivotArea>
    </chartFormat>
    <chartFormat chart="0" format="3" series="1">
      <pivotArea type="data" outline="0" fieldPosition="0">
        <references count="2">
          <reference field="4294967294" count="1" selected="0">
            <x v="0"/>
          </reference>
          <reference field="2" count="1" selected="0">
            <x v="4"/>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1" format="6" series="1">
      <pivotArea type="data" outline="0" fieldPosition="0">
        <references count="2">
          <reference field="4294967294" count="1" selected="0">
            <x v="0"/>
          </reference>
          <reference field="2" count="1" selected="0">
            <x v="1"/>
          </reference>
        </references>
      </pivotArea>
    </chartFormat>
    <chartFormat chart="1" format="7" series="1">
      <pivotArea type="data" outline="0" fieldPosition="0">
        <references count="2">
          <reference field="4294967294" count="1" selected="0">
            <x v="0"/>
          </reference>
          <reference field="2" count="1" selected="0">
            <x v="3"/>
          </reference>
        </references>
      </pivotArea>
    </chartFormat>
    <chartFormat chart="1" format="8" series="1">
      <pivotArea type="data" outline="0" fieldPosition="0">
        <references count="2">
          <reference field="4294967294" count="1" selected="0">
            <x v="0"/>
          </reference>
          <reference field="2" count="1" selected="0">
            <x v="4"/>
          </reference>
        </references>
      </pivotArea>
    </chartFormat>
    <chartFormat chart="1" format="9" series="1">
      <pivotArea type="data" outline="0" fieldPosition="0">
        <references count="2">
          <reference field="4294967294" count="1" selected="0">
            <x v="0"/>
          </reference>
          <reference field="2" count="1" selected="0">
            <x v="0"/>
          </reference>
        </references>
      </pivotArea>
    </chartFormat>
    <chartFormat chart="8" format="50" series="1">
      <pivotArea type="data" outline="0" fieldPosition="0">
        <references count="2">
          <reference field="4294967294" count="1" selected="0">
            <x v="0"/>
          </reference>
          <reference field="2" count="1" selected="0">
            <x v="2"/>
          </reference>
        </references>
      </pivotArea>
    </chartFormat>
    <chartFormat chart="8" format="51">
      <pivotArea type="data" outline="0" fieldPosition="0">
        <references count="3">
          <reference field="4294967294" count="1" selected="0">
            <x v="0"/>
          </reference>
          <reference field="0" count="1" selected="0">
            <x v="5"/>
          </reference>
          <reference field="2" count="1" selected="0">
            <x v="2"/>
          </reference>
        </references>
      </pivotArea>
    </chartFormat>
    <chartFormat chart="8" format="52">
      <pivotArea type="data" outline="0" fieldPosition="0">
        <references count="3">
          <reference field="4294967294" count="1" selected="0">
            <x v="0"/>
          </reference>
          <reference field="0" count="1" selected="0">
            <x v="1"/>
          </reference>
          <reference field="2" count="1" selected="0">
            <x v="2"/>
          </reference>
        </references>
      </pivotArea>
    </chartFormat>
    <chartFormat chart="8" format="53">
      <pivotArea type="data" outline="0" fieldPosition="0">
        <references count="3">
          <reference field="4294967294" count="1" selected="0">
            <x v="0"/>
          </reference>
          <reference field="0" count="1" selected="0">
            <x v="0"/>
          </reference>
          <reference field="2" count="1" selected="0">
            <x v="2"/>
          </reference>
        </references>
      </pivotArea>
    </chartFormat>
    <chartFormat chart="8" format="54">
      <pivotArea type="data" outline="0" fieldPosition="0">
        <references count="3">
          <reference field="4294967294" count="1" selected="0">
            <x v="0"/>
          </reference>
          <reference field="0" count="1" selected="0">
            <x v="2"/>
          </reference>
          <reference field="2" count="1" selected="0">
            <x v="2"/>
          </reference>
        </references>
      </pivotArea>
    </chartFormat>
    <chartFormat chart="8" format="55">
      <pivotArea type="data" outline="0" fieldPosition="0">
        <references count="3">
          <reference field="4294967294" count="1" selected="0">
            <x v="0"/>
          </reference>
          <reference field="0" count="1" selected="0">
            <x v="6"/>
          </reference>
          <reference field="2" count="1" selected="0">
            <x v="2"/>
          </reference>
        </references>
      </pivotArea>
    </chartFormat>
    <chartFormat chart="8" format="56">
      <pivotArea type="data" outline="0" fieldPosition="0">
        <references count="3">
          <reference field="4294967294" count="1" selected="0">
            <x v="0"/>
          </reference>
          <reference field="0" count="1" selected="0">
            <x v="4"/>
          </reference>
          <reference field="2" count="1" selected="0">
            <x v="2"/>
          </reference>
        </references>
      </pivotArea>
    </chartFormat>
    <chartFormat chart="8" format="57">
      <pivotArea type="data" outline="0" fieldPosition="0">
        <references count="3">
          <reference field="4294967294" count="1" selected="0">
            <x v="0"/>
          </reference>
          <reference field="0" count="1" selected="0">
            <x v="3"/>
          </reference>
          <reference field="2" count="1" selected="0">
            <x v="2"/>
          </reference>
        </references>
      </pivotArea>
    </chartFormat>
    <chartFormat chart="8" format="58">
      <pivotArea type="data" outline="0" fieldPosition="0">
        <references count="3">
          <reference field="4294967294" count="1" selected="0">
            <x v="0"/>
          </reference>
          <reference field="0" count="1" selected="0">
            <x v="7"/>
          </reference>
          <reference field="2" count="1" selected="0">
            <x v="2"/>
          </reference>
        </references>
      </pivotArea>
    </chartFormat>
    <chartFormat chart="8" format="59" series="1">
      <pivotArea type="data" outline="0" fieldPosition="0">
        <references count="2">
          <reference field="4294967294" count="1" selected="0">
            <x v="0"/>
          </reference>
          <reference field="2" count="1" selected="0">
            <x v="1"/>
          </reference>
        </references>
      </pivotArea>
    </chartFormat>
    <chartFormat chart="8" format="60">
      <pivotArea type="data" outline="0" fieldPosition="0">
        <references count="3">
          <reference field="4294967294" count="1" selected="0">
            <x v="0"/>
          </reference>
          <reference field="0" count="1" selected="0">
            <x v="5"/>
          </reference>
          <reference field="2" count="1" selected="0">
            <x v="1"/>
          </reference>
        </references>
      </pivotArea>
    </chartFormat>
    <chartFormat chart="8" format="61">
      <pivotArea type="data" outline="0" fieldPosition="0">
        <references count="3">
          <reference field="4294967294" count="1" selected="0">
            <x v="0"/>
          </reference>
          <reference field="0" count="1" selected="0">
            <x v="1"/>
          </reference>
          <reference field="2" count="1" selected="0">
            <x v="1"/>
          </reference>
        </references>
      </pivotArea>
    </chartFormat>
    <chartFormat chart="8" format="62">
      <pivotArea type="data" outline="0" fieldPosition="0">
        <references count="3">
          <reference field="4294967294" count="1" selected="0">
            <x v="0"/>
          </reference>
          <reference field="0" count="1" selected="0">
            <x v="0"/>
          </reference>
          <reference field="2" count="1" selected="0">
            <x v="1"/>
          </reference>
        </references>
      </pivotArea>
    </chartFormat>
    <chartFormat chart="8" format="63">
      <pivotArea type="data" outline="0" fieldPosition="0">
        <references count="3">
          <reference field="4294967294" count="1" selected="0">
            <x v="0"/>
          </reference>
          <reference field="0" count="1" selected="0">
            <x v="2"/>
          </reference>
          <reference field="2" count="1" selected="0">
            <x v="1"/>
          </reference>
        </references>
      </pivotArea>
    </chartFormat>
    <chartFormat chart="8" format="64">
      <pivotArea type="data" outline="0" fieldPosition="0">
        <references count="3">
          <reference field="4294967294" count="1" selected="0">
            <x v="0"/>
          </reference>
          <reference field="0" count="1" selected="0">
            <x v="6"/>
          </reference>
          <reference field="2" count="1" selected="0">
            <x v="1"/>
          </reference>
        </references>
      </pivotArea>
    </chartFormat>
    <chartFormat chart="8" format="65">
      <pivotArea type="data" outline="0" fieldPosition="0">
        <references count="3">
          <reference field="4294967294" count="1" selected="0">
            <x v="0"/>
          </reference>
          <reference field="0" count="1" selected="0">
            <x v="4"/>
          </reference>
          <reference field="2" count="1" selected="0">
            <x v="1"/>
          </reference>
        </references>
      </pivotArea>
    </chartFormat>
    <chartFormat chart="8" format="66">
      <pivotArea type="data" outline="0" fieldPosition="0">
        <references count="3">
          <reference field="4294967294" count="1" selected="0">
            <x v="0"/>
          </reference>
          <reference field="0" count="1" selected="0">
            <x v="3"/>
          </reference>
          <reference field="2" count="1" selected="0">
            <x v="1"/>
          </reference>
        </references>
      </pivotArea>
    </chartFormat>
    <chartFormat chart="8" format="67">
      <pivotArea type="data" outline="0" fieldPosition="0">
        <references count="3">
          <reference field="4294967294" count="1" selected="0">
            <x v="0"/>
          </reference>
          <reference field="0" count="1" selected="0">
            <x v="7"/>
          </reference>
          <reference field="2" count="1" selected="0">
            <x v="1"/>
          </reference>
        </references>
      </pivotArea>
    </chartFormat>
    <chartFormat chart="8" format="68" series="1">
      <pivotArea type="data" outline="0" fieldPosition="0">
        <references count="2">
          <reference field="4294967294" count="1" selected="0">
            <x v="0"/>
          </reference>
          <reference field="2" count="1" selected="0">
            <x v="3"/>
          </reference>
        </references>
      </pivotArea>
    </chartFormat>
    <chartFormat chart="8" format="69">
      <pivotArea type="data" outline="0" fieldPosition="0">
        <references count="3">
          <reference field="4294967294" count="1" selected="0">
            <x v="0"/>
          </reference>
          <reference field="0" count="1" selected="0">
            <x v="5"/>
          </reference>
          <reference field="2" count="1" selected="0">
            <x v="3"/>
          </reference>
        </references>
      </pivotArea>
    </chartFormat>
    <chartFormat chart="8" format="70">
      <pivotArea type="data" outline="0" fieldPosition="0">
        <references count="3">
          <reference field="4294967294" count="1" selected="0">
            <x v="0"/>
          </reference>
          <reference field="0" count="1" selected="0">
            <x v="1"/>
          </reference>
          <reference field="2" count="1" selected="0">
            <x v="3"/>
          </reference>
        </references>
      </pivotArea>
    </chartFormat>
    <chartFormat chart="8" format="71">
      <pivotArea type="data" outline="0" fieldPosition="0">
        <references count="3">
          <reference field="4294967294" count="1" selected="0">
            <x v="0"/>
          </reference>
          <reference field="0" count="1" selected="0">
            <x v="0"/>
          </reference>
          <reference field="2" count="1" selected="0">
            <x v="3"/>
          </reference>
        </references>
      </pivotArea>
    </chartFormat>
    <chartFormat chart="8" format="72">
      <pivotArea type="data" outline="0" fieldPosition="0">
        <references count="3">
          <reference field="4294967294" count="1" selected="0">
            <x v="0"/>
          </reference>
          <reference field="0" count="1" selected="0">
            <x v="2"/>
          </reference>
          <reference field="2" count="1" selected="0">
            <x v="3"/>
          </reference>
        </references>
      </pivotArea>
    </chartFormat>
    <chartFormat chart="8" format="73">
      <pivotArea type="data" outline="0" fieldPosition="0">
        <references count="3">
          <reference field="4294967294" count="1" selected="0">
            <x v="0"/>
          </reference>
          <reference field="0" count="1" selected="0">
            <x v="6"/>
          </reference>
          <reference field="2" count="1" selected="0">
            <x v="3"/>
          </reference>
        </references>
      </pivotArea>
    </chartFormat>
    <chartFormat chart="8" format="74">
      <pivotArea type="data" outline="0" fieldPosition="0">
        <references count="3">
          <reference field="4294967294" count="1" selected="0">
            <x v="0"/>
          </reference>
          <reference field="0" count="1" selected="0">
            <x v="4"/>
          </reference>
          <reference field="2" count="1" selected="0">
            <x v="3"/>
          </reference>
        </references>
      </pivotArea>
    </chartFormat>
    <chartFormat chart="8" format="75">
      <pivotArea type="data" outline="0" fieldPosition="0">
        <references count="3">
          <reference field="4294967294" count="1" selected="0">
            <x v="0"/>
          </reference>
          <reference field="0" count="1" selected="0">
            <x v="3"/>
          </reference>
          <reference field="2" count="1" selected="0">
            <x v="3"/>
          </reference>
        </references>
      </pivotArea>
    </chartFormat>
    <chartFormat chart="8" format="76">
      <pivotArea type="data" outline="0" fieldPosition="0">
        <references count="3">
          <reference field="4294967294" count="1" selected="0">
            <x v="0"/>
          </reference>
          <reference field="0" count="1" selected="0">
            <x v="7"/>
          </reference>
          <reference field="2" count="1" selected="0">
            <x v="3"/>
          </reference>
        </references>
      </pivotArea>
    </chartFormat>
    <chartFormat chart="8" format="77" series="1">
      <pivotArea type="data" outline="0" fieldPosition="0">
        <references count="2">
          <reference field="4294967294" count="1" selected="0">
            <x v="0"/>
          </reference>
          <reference field="2" count="1" selected="0">
            <x v="4"/>
          </reference>
        </references>
      </pivotArea>
    </chartFormat>
    <chartFormat chart="8" format="78">
      <pivotArea type="data" outline="0" fieldPosition="0">
        <references count="3">
          <reference field="4294967294" count="1" selected="0">
            <x v="0"/>
          </reference>
          <reference field="0" count="1" selected="0">
            <x v="5"/>
          </reference>
          <reference field="2" count="1" selected="0">
            <x v="4"/>
          </reference>
        </references>
      </pivotArea>
    </chartFormat>
    <chartFormat chart="8" format="79">
      <pivotArea type="data" outline="0" fieldPosition="0">
        <references count="3">
          <reference field="4294967294" count="1" selected="0">
            <x v="0"/>
          </reference>
          <reference field="0" count="1" selected="0">
            <x v="1"/>
          </reference>
          <reference field="2" count="1" selected="0">
            <x v="4"/>
          </reference>
        </references>
      </pivotArea>
    </chartFormat>
    <chartFormat chart="8" format="80">
      <pivotArea type="data" outline="0" fieldPosition="0">
        <references count="3">
          <reference field="4294967294" count="1" selected="0">
            <x v="0"/>
          </reference>
          <reference field="0" count="1" selected="0">
            <x v="0"/>
          </reference>
          <reference field="2" count="1" selected="0">
            <x v="4"/>
          </reference>
        </references>
      </pivotArea>
    </chartFormat>
    <chartFormat chart="8" format="81">
      <pivotArea type="data" outline="0" fieldPosition="0">
        <references count="3">
          <reference field="4294967294" count="1" selected="0">
            <x v="0"/>
          </reference>
          <reference field="0" count="1" selected="0">
            <x v="2"/>
          </reference>
          <reference field="2" count="1" selected="0">
            <x v="4"/>
          </reference>
        </references>
      </pivotArea>
    </chartFormat>
    <chartFormat chart="8" format="82">
      <pivotArea type="data" outline="0" fieldPosition="0">
        <references count="3">
          <reference field="4294967294" count="1" selected="0">
            <x v="0"/>
          </reference>
          <reference field="0" count="1" selected="0">
            <x v="6"/>
          </reference>
          <reference field="2" count="1" selected="0">
            <x v="4"/>
          </reference>
        </references>
      </pivotArea>
    </chartFormat>
    <chartFormat chart="8" format="83">
      <pivotArea type="data" outline="0" fieldPosition="0">
        <references count="3">
          <reference field="4294967294" count="1" selected="0">
            <x v="0"/>
          </reference>
          <reference field="0" count="1" selected="0">
            <x v="4"/>
          </reference>
          <reference field="2" count="1" selected="0">
            <x v="4"/>
          </reference>
        </references>
      </pivotArea>
    </chartFormat>
    <chartFormat chart="8" format="84">
      <pivotArea type="data" outline="0" fieldPosition="0">
        <references count="3">
          <reference field="4294967294" count="1" selected="0">
            <x v="0"/>
          </reference>
          <reference field="0" count="1" selected="0">
            <x v="3"/>
          </reference>
          <reference field="2" count="1" selected="0">
            <x v="4"/>
          </reference>
        </references>
      </pivotArea>
    </chartFormat>
    <chartFormat chart="8" format="85">
      <pivotArea type="data" outline="0" fieldPosition="0">
        <references count="3">
          <reference field="4294967294" count="1" selected="0">
            <x v="0"/>
          </reference>
          <reference field="0" count="1" selected="0">
            <x v="7"/>
          </reference>
          <reference field="2" count="1" selected="0">
            <x v="4"/>
          </reference>
        </references>
      </pivotArea>
    </chartFormat>
    <chartFormat chart="8" format="86" series="1">
      <pivotArea type="data" outline="0" fieldPosition="0">
        <references count="2">
          <reference field="4294967294" count="1" selected="0">
            <x v="0"/>
          </reference>
          <reference field="2" count="1" selected="0">
            <x v="0"/>
          </reference>
        </references>
      </pivotArea>
    </chartFormat>
    <chartFormat chart="8" format="87">
      <pivotArea type="data" outline="0" fieldPosition="0">
        <references count="3">
          <reference field="4294967294" count="1" selected="0">
            <x v="0"/>
          </reference>
          <reference field="0" count="1" selected="0">
            <x v="5"/>
          </reference>
          <reference field="2" count="1" selected="0">
            <x v="0"/>
          </reference>
        </references>
      </pivotArea>
    </chartFormat>
    <chartFormat chart="8" format="88">
      <pivotArea type="data" outline="0" fieldPosition="0">
        <references count="3">
          <reference field="4294967294" count="1" selected="0">
            <x v="0"/>
          </reference>
          <reference field="0" count="1" selected="0">
            <x v="1"/>
          </reference>
          <reference field="2" count="1" selected="0">
            <x v="0"/>
          </reference>
        </references>
      </pivotArea>
    </chartFormat>
    <chartFormat chart="8" format="89">
      <pivotArea type="data" outline="0" fieldPosition="0">
        <references count="3">
          <reference field="4294967294" count="1" selected="0">
            <x v="0"/>
          </reference>
          <reference field="0" count="1" selected="0">
            <x v="0"/>
          </reference>
          <reference field="2" count="1" selected="0">
            <x v="0"/>
          </reference>
        </references>
      </pivotArea>
    </chartFormat>
    <chartFormat chart="8" format="90">
      <pivotArea type="data" outline="0" fieldPosition="0">
        <references count="3">
          <reference field="4294967294" count="1" selected="0">
            <x v="0"/>
          </reference>
          <reference field="0" count="1" selected="0">
            <x v="2"/>
          </reference>
          <reference field="2" count="1" selected="0">
            <x v="0"/>
          </reference>
        </references>
      </pivotArea>
    </chartFormat>
    <chartFormat chart="8" format="91">
      <pivotArea type="data" outline="0" fieldPosition="0">
        <references count="3">
          <reference field="4294967294" count="1" selected="0">
            <x v="0"/>
          </reference>
          <reference field="0" count="1" selected="0">
            <x v="6"/>
          </reference>
          <reference field="2" count="1" selected="0">
            <x v="0"/>
          </reference>
        </references>
      </pivotArea>
    </chartFormat>
    <chartFormat chart="8" format="92">
      <pivotArea type="data" outline="0" fieldPosition="0">
        <references count="3">
          <reference field="4294967294" count="1" selected="0">
            <x v="0"/>
          </reference>
          <reference field="0" count="1" selected="0">
            <x v="4"/>
          </reference>
          <reference field="2" count="1" selected="0">
            <x v="0"/>
          </reference>
        </references>
      </pivotArea>
    </chartFormat>
    <chartFormat chart="8" format="93">
      <pivotArea type="data" outline="0" fieldPosition="0">
        <references count="3">
          <reference field="4294967294" count="1" selected="0">
            <x v="0"/>
          </reference>
          <reference field="0" count="1" selected="0">
            <x v="3"/>
          </reference>
          <reference field="2" count="1" selected="0">
            <x v="0"/>
          </reference>
        </references>
      </pivotArea>
    </chartFormat>
    <chartFormat chart="8" format="94">
      <pivotArea type="data" outline="0" fieldPosition="0">
        <references count="3">
          <reference field="4294967294" count="1" selected="0">
            <x v="0"/>
          </reference>
          <reference field="0" count="1" selected="0">
            <x v="7"/>
          </reference>
          <reference field="2" count="1" selected="0">
            <x v="0"/>
          </reference>
        </references>
      </pivotArea>
    </chartFormat>
  </chartFormats>
  <pivotHierarchies count="12">
    <pivotHierarchy multipleItemSelectionAllowed="1" dragToData="1">
      <members count="1" level="1">
        <member name="[Table2].[Tanggal].&amp;[2025-01-03]"/>
      </members>
    </pivotHierarchy>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kap_Absensi Karyawa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C920D1-F8AA-442A-88AE-E2911DDBB50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ama">
  <location ref="M4:O7" firstHeaderRow="1" firstDataRow="2" firstDataCol="1"/>
  <pivotFields count="4">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5">
        <item s="1" x="0"/>
        <item s="1" x="1"/>
        <item x="2"/>
        <item x="3"/>
        <item x="4"/>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2">
    <i>
      <x/>
    </i>
    <i t="grand">
      <x/>
    </i>
  </colItems>
  <dataFields count="1">
    <dataField name="Count of Status" fld="2" subtotal="count" baseField="0" baseItem="0"/>
  </dataFields>
  <formats count="3">
    <format dxfId="71">
      <pivotArea outline="0" collapsedLevelsAreSubtotals="1" fieldPosition="0"/>
    </format>
    <format dxfId="70">
      <pivotArea dataOnly="0" labelOnly="1" fieldPosition="0">
        <references count="1">
          <reference field="0" count="0"/>
        </references>
      </pivotArea>
    </format>
    <format dxfId="69">
      <pivotArea dataOnly="0" labelOnly="1" grandRow="1" outline="0" fieldPosition="0"/>
    </format>
  </formats>
  <chartFormats count="10">
    <chartFormat chart="0" format="0" series="1">
      <pivotArea type="data" outline="0" fieldPosition="0">
        <references count="2">
          <reference field="4294967294" count="1" selected="0">
            <x v="0"/>
          </reference>
          <reference field="1" count="1" selected="0">
            <x v="2"/>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3"/>
          </reference>
        </references>
      </pivotArea>
    </chartFormat>
    <chartFormat chart="2" format="13" series="1">
      <pivotArea type="data" outline="0" fieldPosition="0">
        <references count="2">
          <reference field="4294967294" count="1" selected="0">
            <x v="0"/>
          </reference>
          <reference field="1" count="1" selected="0">
            <x v="4"/>
          </reference>
        </references>
      </pivotArea>
    </chartFormat>
    <chartFormat chart="2" format="14" series="1">
      <pivotArea type="data" outline="0" fieldPosition="0">
        <references count="2">
          <reference field="4294967294" count="1" selected="0">
            <x v="0"/>
          </reference>
          <reference field="1" count="1" selected="0">
            <x v="0"/>
          </reference>
        </references>
      </pivotArea>
    </chartFormat>
  </chartFormats>
  <pivotHierarchies count="12">
    <pivotHierarchy multipleItemSelectionAllowed="1" dragToData="1"/>
    <pivotHierarchy dragToData="1"/>
    <pivotHierarchy multipleItemSelectionAllowed="1" dragToData="1">
      <members count="1" level="1">
        <member name="[Table2].[Nama].&amp;[Citra]"/>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kap_Absensi Karyawa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 xr10:uid="{623A1764-D49B-4673-A6E1-1C0AFE0A3E49}" sourceName="[Table2].[Nama]">
  <pivotTables>
    <pivotTable tabId="4" name="PivotTable7"/>
    <pivotTable tabId="4" name="PivotTable1"/>
  </pivotTables>
  <data>
    <olap pivotCacheId="931651268">
      <levels count="2">
        <level uniqueName="[Table2].[Nama].[(All)]" sourceCaption="(All)" count="0"/>
        <level uniqueName="[Table2].[Nama].[Nama]" sourceCaption="Nama" count="10">
          <ranges>
            <range startItem="0">
              <i n="[Table2].[Nama].&amp;[Budi]" c="Budi"/>
              <i n="[Table2].[Nama].&amp;[Citra]" c="Citra"/>
              <i n="[Table2].[Nama].&amp;[Dewi]" c="Dewi"/>
              <i n="[Table2].[Nama].&amp;[Intan]" c="Intan"/>
              <i n="[Table2].[Nama].&amp;[Andi]" c="Andi" nd="1"/>
              <i n="[Table2].[Nama].&amp;[Eka]" c="Eka" nd="1"/>
              <i n="[Table2].[Nama].&amp;[Fajar]" c="Fajar" nd="1"/>
              <i n="[Table2].[Nama].&amp;[Gita]" c="Gita" nd="1"/>
              <i n="[Table2].[Nama].&amp;[Hadi]" c="Hadi" nd="1"/>
              <i n="[Table2].[Nama].&amp;[Joko]" c="Joko" nd="1"/>
            </range>
          </ranges>
        </level>
      </levels>
      <selections count="1">
        <selection n="[Table2].[Nama].&amp;[Citr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56BD83B-8D8B-4B2D-9927-682A31214F57}" sourceName="[Table2].[Status]">
  <pivotTables>
    <pivotTable tabId="4" name="PivotTable7"/>
    <pivotTable tabId="4" name="PivotTable1"/>
  </pivotTables>
  <data>
    <olap pivotCacheId="931651268">
      <levels count="2">
        <level uniqueName="[Table2].[Status].[(All)]" sourceCaption="(All)" count="0"/>
        <level uniqueName="[Table2].[Status].[Status]" sourceCaption="Status" count="5">
          <ranges>
            <range startItem="0">
              <i n="[Table2].[Status].&amp;[Terlambat]" c="Terlambat"/>
              <i n="[Table2].[Status].&amp;[Alfa]" c="Alfa" nd="1"/>
              <i n="[Table2].[Status].&amp;[Hadir]" c="Hadir" nd="1"/>
              <i n="[Table2].[Status].&amp;[Izin]" c="Izin" nd="1"/>
              <i n="[Table2].[Status].&amp;[Sakit]" c="Sakit" nd="1"/>
            </range>
          </ranges>
        </level>
      </levels>
      <selections count="2">
        <selection n="[Table2].[Status].&amp;[Hadir]"/>
        <selection n="[Table2].[Status].&amp;[Terlamba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26DB8FDA-C9C0-421C-A2B2-801FCF8AE2ED}" sourceName="[Table2].[Tanggal]">
  <pivotTables>
    <pivotTable tabId="4" name="PivotTable7"/>
    <pivotTable tabId="4" name="PivotTable1"/>
  </pivotTables>
  <data>
    <olap pivotCacheId="931651268">
      <levels count="2">
        <level uniqueName="[Table2].[Tanggal].[(All)]" sourceCaption="(All)" count="0"/>
        <level uniqueName="[Table2].[Tanggal].[Tanggal]" sourceCaption="Tanggal" count="31">
          <ranges>
            <range startItem="0">
              <i n="[Table2].[Tanggal].&amp;[2025-01-03]" c="2025-01-03"/>
              <i n="[Table2].[Tanggal].&amp;[2025-01-04]" c="2025-01-04"/>
              <i n="[Table2].[Tanggal].&amp;[2025-01-06]" c="2025-01-06"/>
              <i n="[Table2].[Tanggal].&amp;[2025-01-07]" c="2025-01-07"/>
              <i n="[Table2].[Tanggal].&amp;[2025-01-08]" c="2025-01-08"/>
              <i n="[Table2].[Tanggal].&amp;[2025-01-13]" c="2025-01-13"/>
              <i n="[Table2].[Tanggal].&amp;[2025-01-14]" c="2025-01-14"/>
              <i n="[Table2].[Tanggal].&amp;[2025-01-19]" c="2025-01-19"/>
              <i n="[Table2].[Tanggal].&amp;[2025-01-23]" c="2025-01-23"/>
              <i n="[Table2].[Tanggal].&amp;[2025-01-24]" c="2025-01-24"/>
              <i n="[Table2].[Tanggal].&amp;[2025-01-25]" c="2025-01-25"/>
              <i n="[Table2].[Tanggal].&amp;[2025-01-28]" c="2025-01-28"/>
              <i n="[Table2].[Tanggal].&amp;[2025-01-30]" c="2025-01-30"/>
              <i n="[Table2].[Tanggal].&amp;[2025-01-31]" c="2025-01-31"/>
              <i n="[Table2].[Tanggal].&amp;[2025-01-01]" c="2025-01-01" nd="1"/>
              <i n="[Table2].[Tanggal].&amp;[2025-01-02]" c="2025-01-02" nd="1"/>
              <i n="[Table2].[Tanggal].&amp;[2025-01-05]" c="2025-01-05" nd="1"/>
              <i n="[Table2].[Tanggal].&amp;[2025-01-09]" c="2025-01-09" nd="1"/>
              <i n="[Table2].[Tanggal].&amp;[2025-01-10]" c="2025-01-10" nd="1"/>
              <i n="[Table2].[Tanggal].&amp;[2025-01-11]" c="2025-01-11" nd="1"/>
              <i n="[Table2].[Tanggal].&amp;[2025-01-12]" c="2025-01-12" nd="1"/>
              <i n="[Table2].[Tanggal].&amp;[2025-01-15]" c="2025-01-15" nd="1"/>
              <i n="[Table2].[Tanggal].&amp;[2025-01-16]" c="2025-01-16" nd="1"/>
              <i n="[Table2].[Tanggal].&amp;[2025-01-17]" c="2025-01-17" nd="1"/>
              <i n="[Table2].[Tanggal].&amp;[2025-01-18]" c="2025-01-18" nd="1"/>
              <i n="[Table2].[Tanggal].&amp;[2025-01-20]" c="2025-01-20" nd="1"/>
              <i n="[Table2].[Tanggal].&amp;[2025-01-21]" c="2025-01-21" nd="1"/>
              <i n="[Table2].[Tanggal].&amp;[2025-01-22]" c="2025-01-22" nd="1"/>
              <i n="[Table2].[Tanggal].&amp;[2025-01-26]" c="2025-01-26" nd="1"/>
              <i n="[Table2].[Tanggal].&amp;[2025-01-27]" c="2025-01-27" nd="1"/>
              <i n="[Table2].[Tanggal].&amp;[2025-01-29]" c="2025-01-29" nd="1"/>
            </range>
          </ranges>
        </level>
      </levels>
      <selections count="1">
        <selection n="[Table2].[Tanggal].&amp;[2025-01-03]"/>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Jam_Kerja" xr10:uid="{30B7FDFC-1349-42F9-AE75-C3F0C67A00B0}" sourceName="Total Jam Kerja">
  <pivotTables>
    <pivotTable tabId="4" name="PivotTable6"/>
  </pivotTables>
  <data>
    <tabular pivotCacheId="1345285792">
      <items count="70">
        <i x="0" s="1"/>
        <i x="65" s="1"/>
        <i x="16" s="1"/>
        <i x="52" s="1"/>
        <i x="18" s="1"/>
        <i x="59" s="1"/>
        <i x="46" s="1"/>
        <i x="62" s="1"/>
        <i x="63" s="1"/>
        <i x="31" s="1"/>
        <i x="24" s="1"/>
        <i x="48" s="1"/>
        <i x="12" s="1"/>
        <i x="2" s="1"/>
        <i x="44" s="1"/>
        <i x="64" s="1"/>
        <i x="37" s="1"/>
        <i x="41" s="1"/>
        <i x="36" s="1"/>
        <i x="35" s="1"/>
        <i x="17" s="1"/>
        <i x="25" s="1"/>
        <i x="53" s="1"/>
        <i x="11" s="1"/>
        <i x="23" s="1"/>
        <i x="15" s="1"/>
        <i x="45" s="1"/>
        <i x="61" s="1"/>
        <i x="1" s="1"/>
        <i x="26" s="1"/>
        <i x="9" s="1"/>
        <i x="47" s="1"/>
        <i x="33" s="1"/>
        <i x="54" s="1"/>
        <i x="32" s="1"/>
        <i x="7" s="1"/>
        <i x="8" s="1"/>
        <i x="4" s="1"/>
        <i x="21" s="1"/>
        <i x="50" s="1"/>
        <i x="6" s="1"/>
        <i x="5" s="1"/>
        <i x="20" s="1"/>
        <i x="29" s="1"/>
        <i x="28" s="1"/>
        <i x="3" s="1"/>
        <i x="51" s="1"/>
        <i x="34" s="1"/>
        <i x="55" s="1"/>
        <i x="19" s="1"/>
        <i x="42" s="1"/>
        <i x="68" s="1"/>
        <i x="27" s="1"/>
        <i x="14" s="1"/>
        <i x="66" s="1"/>
        <i x="30" s="1"/>
        <i x="40" s="1"/>
        <i x="60" s="1"/>
        <i x="58" s="1"/>
        <i x="22" s="1"/>
        <i x="10" s="1"/>
        <i x="49" s="1"/>
        <i x="13" s="1"/>
        <i x="56" s="1"/>
        <i x="67" s="1"/>
        <i x="57" s="1"/>
        <i x="43" s="1"/>
        <i x="38" s="1"/>
        <i x="39" s="1"/>
        <i x="6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xr10:uid="{7C12DCC1-426F-4B2B-B6FD-11725D74BCA0}" cache="Slicer_Nama" caption="Nama" level="1" rowHeight="241300"/>
  <slicer name="Status" xr10:uid="{DC02FAFF-572F-4EDB-9475-BD2F5860F2C6}" cache="Slicer_Status" caption="Status" level="1" rowHeight="241300"/>
  <slicer name="Tanggal" xr10:uid="{BBB379A4-64D5-4243-879D-E1B5D074B9DF}" cache="Slicer_Tanggal" caption="Tanggal" level="1" rowHeight="241300"/>
  <slicer name="Total Jam Kerja" xr10:uid="{5CD2B7E4-5197-4966-9948-51509EFC5A6D}" cache="Slicer_Total_Jam_Kerja" caption="Total Jam Kerja" startItem="2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6B525B-6978-4DE7-AA5F-1DCBA69F111B}" name="Table2" displayName="Table2" ref="H6:N316" totalsRowShown="0" headerRowDxfId="16" dataDxfId="15" headerRowBorderDxfId="13" tableBorderDxfId="14" totalsRowBorderDxfId="12">
  <autoFilter ref="H6:N316" xr:uid="{126B525B-6978-4DE7-AA5F-1DCBA69F111B}"/>
  <tableColumns count="7">
    <tableColumn id="1" xr3:uid="{D23D2FC5-B898-47E4-886D-1B119C56C4EB}" name="Tanggal" dataDxfId="11"/>
    <tableColumn id="2" xr3:uid="{4A4C9E1D-66EC-492E-9A04-B68246C9DCA7}" name="ID" dataDxfId="10"/>
    <tableColumn id="3" xr3:uid="{79332B14-2572-49B0-AEC2-79555F4FD82E}" name="Nama" dataDxfId="9"/>
    <tableColumn id="4" xr3:uid="{329BBB4E-4BD1-438D-910F-554F5320F65D}" name="Jam Masuk" dataDxfId="8"/>
    <tableColumn id="5" xr3:uid="{118B4131-0954-4269-B27A-FF86BD7F9BE6}" name="Jam Pulang" dataDxfId="7"/>
    <tableColumn id="6" xr3:uid="{3C0303BC-458D-482F-8037-DF029818B296}" name="Status" dataDxfId="6"/>
    <tableColumn id="7" xr3:uid="{918DC9FB-2687-4EFD-A1F5-A95D0E2DED7E}" name="Total Jam Kerja" dataDxfId="5">
      <calculatedColumnFormula>IF(OR(Table2[[#This Row],[Jam Masuk]]="-",Table2[[#This Row],[Jam Pulang]]="-"),0,Table2[[#This Row],[Jam Pulang]]-Table2[[#This Row],[Jam Masuk]])</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82B3-8CE1-4AFF-B772-8D3B2871CD66}">
  <dimension ref="E2:P316"/>
  <sheetViews>
    <sheetView tabSelected="1" topLeftCell="C6" workbookViewId="0">
      <selection activeCell="P18" sqref="P18"/>
    </sheetView>
  </sheetViews>
  <sheetFormatPr defaultColWidth="10.42578125" defaultRowHeight="15" x14ac:dyDescent="0.25"/>
  <cols>
    <col min="6" max="6" width="15.42578125" customWidth="1"/>
    <col min="8" max="8" width="12.28515625" bestFit="1" customWidth="1"/>
    <col min="9" max="9" width="8.42578125" bestFit="1" customWidth="1"/>
    <col min="10" max="10" width="10.7109375" bestFit="1" customWidth="1"/>
    <col min="11" max="11" width="15.28515625" bestFit="1" customWidth="1"/>
    <col min="12" max="12" width="15.42578125" bestFit="1" customWidth="1"/>
    <col min="13" max="13" width="11" bestFit="1" customWidth="1"/>
    <col min="14" max="14" width="19" bestFit="1" customWidth="1"/>
  </cols>
  <sheetData>
    <row r="2" spans="5:16" ht="21" x14ac:dyDescent="0.25">
      <c r="H2" s="21" t="s">
        <v>20</v>
      </c>
      <c r="I2" s="21"/>
      <c r="J2" s="21"/>
      <c r="K2" s="21"/>
      <c r="L2" s="21"/>
      <c r="M2" s="21"/>
      <c r="N2" s="21"/>
    </row>
    <row r="3" spans="5:16" ht="21" x14ac:dyDescent="0.25">
      <c r="H3" s="21" t="s">
        <v>19</v>
      </c>
      <c r="I3" s="21"/>
      <c r="J3" s="21"/>
      <c r="K3" s="21"/>
      <c r="L3" s="21"/>
      <c r="M3" s="21"/>
      <c r="N3" s="21"/>
    </row>
    <row r="5" spans="5:16" ht="15.75" x14ac:dyDescent="0.25">
      <c r="H5" s="2" t="s">
        <v>21</v>
      </c>
      <c r="I5" s="3" t="s">
        <v>22</v>
      </c>
    </row>
    <row r="6" spans="5:16" x14ac:dyDescent="0.25">
      <c r="H6" s="4" t="s">
        <v>0</v>
      </c>
      <c r="I6" s="5" t="s">
        <v>23</v>
      </c>
      <c r="J6" s="5" t="s">
        <v>24</v>
      </c>
      <c r="K6" s="5" t="s">
        <v>2</v>
      </c>
      <c r="L6" s="5" t="s">
        <v>3</v>
      </c>
      <c r="M6" s="5" t="s">
        <v>1</v>
      </c>
      <c r="N6" s="6" t="s">
        <v>11</v>
      </c>
    </row>
    <row r="7" spans="5:16" x14ac:dyDescent="0.25">
      <c r="H7" s="16" t="s">
        <v>74</v>
      </c>
      <c r="I7" s="13" t="s">
        <v>25</v>
      </c>
      <c r="J7" s="18" t="s">
        <v>4</v>
      </c>
      <c r="K7" s="13" t="s">
        <v>8</v>
      </c>
      <c r="L7" s="13" t="s">
        <v>8</v>
      </c>
      <c r="M7" s="13" t="s">
        <v>10</v>
      </c>
      <c r="N7" s="7">
        <f>IF(OR(Table2[[#This Row],[Jam Masuk]]="-",Table2[[#This Row],[Jam Pulang]]="-"),0,Table2[[#This Row],[Jam Pulang]]-Table2[[#This Row],[Jam Masuk]])</f>
        <v>0</v>
      </c>
      <c r="P7" s="9"/>
    </row>
    <row r="8" spans="5:16" x14ac:dyDescent="0.25">
      <c r="H8" s="16" t="s">
        <v>74</v>
      </c>
      <c r="I8" s="13" t="s">
        <v>26</v>
      </c>
      <c r="J8" s="18" t="s">
        <v>6</v>
      </c>
      <c r="K8" s="13" t="s">
        <v>8</v>
      </c>
      <c r="L8" s="13" t="s">
        <v>8</v>
      </c>
      <c r="M8" s="13" t="s">
        <v>10</v>
      </c>
      <c r="N8" s="7">
        <f>IF(OR(Table2[[#This Row],[Jam Masuk]]="-",Table2[[#This Row],[Jam Pulang]]="-"),0,Table2[[#This Row],[Jam Pulang]]-Table2[[#This Row],[Jam Masuk]])</f>
        <v>0</v>
      </c>
    </row>
    <row r="9" spans="5:16" x14ac:dyDescent="0.25">
      <c r="H9" s="16" t="s">
        <v>74</v>
      </c>
      <c r="I9" s="13" t="s">
        <v>27</v>
      </c>
      <c r="J9" s="18" t="s">
        <v>28</v>
      </c>
      <c r="K9" s="13" t="s">
        <v>8</v>
      </c>
      <c r="L9" s="13" t="s">
        <v>8</v>
      </c>
      <c r="M9" s="13" t="s">
        <v>42</v>
      </c>
      <c r="N9" s="7">
        <f>IF(OR(Table2[[#This Row],[Jam Masuk]]="-",Table2[[#This Row],[Jam Pulang]]="-"),0,Table2[[#This Row],[Jam Pulang]]-Table2[[#This Row],[Jam Masuk]])</f>
        <v>0</v>
      </c>
    </row>
    <row r="10" spans="5:16" x14ac:dyDescent="0.25">
      <c r="H10" s="16" t="s">
        <v>74</v>
      </c>
      <c r="I10" s="13" t="s">
        <v>29</v>
      </c>
      <c r="J10" s="18" t="s">
        <v>9</v>
      </c>
      <c r="K10" s="13">
        <v>0.37361111111111112</v>
      </c>
      <c r="L10" s="13">
        <v>0.74583333333333335</v>
      </c>
      <c r="M10" s="13" t="s">
        <v>44</v>
      </c>
      <c r="N10" s="7">
        <f>IF(OR(Table2[[#This Row],[Jam Masuk]]="-",Table2[[#This Row],[Jam Pulang]]="-"),0,Table2[[#This Row],[Jam Pulang]]-Table2[[#This Row],[Jam Masuk]])</f>
        <v>0.37222222222222223</v>
      </c>
      <c r="P10" s="15"/>
    </row>
    <row r="11" spans="5:16" x14ac:dyDescent="0.25">
      <c r="H11" s="16" t="s">
        <v>74</v>
      </c>
      <c r="I11" s="13" t="s">
        <v>30</v>
      </c>
      <c r="J11" s="18" t="s">
        <v>31</v>
      </c>
      <c r="K11" s="13" t="s">
        <v>8</v>
      </c>
      <c r="L11" s="13" t="s">
        <v>8</v>
      </c>
      <c r="M11" s="13" t="s">
        <v>7</v>
      </c>
      <c r="N11" s="7">
        <f>IF(OR(Table2[[#This Row],[Jam Masuk]]="-",Table2[[#This Row],[Jam Pulang]]="-"),0,Table2[[#This Row],[Jam Pulang]]-Table2[[#This Row],[Jam Masuk]])</f>
        <v>0</v>
      </c>
    </row>
    <row r="12" spans="5:16" x14ac:dyDescent="0.25">
      <c r="E12" s="15"/>
      <c r="H12" s="16" t="s">
        <v>74</v>
      </c>
      <c r="I12" s="13" t="s">
        <v>32</v>
      </c>
      <c r="J12" s="18" t="s">
        <v>33</v>
      </c>
      <c r="K12" s="13">
        <v>0.35694444444444445</v>
      </c>
      <c r="L12" s="13">
        <v>0.71319444444444446</v>
      </c>
      <c r="M12" s="13" t="s">
        <v>44</v>
      </c>
      <c r="N12" s="7">
        <f>IF(OR(Table2[[#This Row],[Jam Masuk]]="-",Table2[[#This Row],[Jam Pulang]]="-"),0,Table2[[#This Row],[Jam Pulang]]-Table2[[#This Row],[Jam Masuk]])</f>
        <v>0.35625000000000001</v>
      </c>
    </row>
    <row r="13" spans="5:16" x14ac:dyDescent="0.25">
      <c r="H13" s="16" t="s">
        <v>74</v>
      </c>
      <c r="I13" s="13" t="s">
        <v>34</v>
      </c>
      <c r="J13" s="18" t="s">
        <v>35</v>
      </c>
      <c r="K13" s="13" t="s">
        <v>8</v>
      </c>
      <c r="L13" s="13" t="s">
        <v>8</v>
      </c>
      <c r="M13" s="13" t="s">
        <v>42</v>
      </c>
      <c r="N13" s="7">
        <f>IF(OR(Table2[[#This Row],[Jam Masuk]]="-",Table2[[#This Row],[Jam Pulang]]="-"),0,Table2[[#This Row],[Jam Pulang]]-Table2[[#This Row],[Jam Masuk]])</f>
        <v>0</v>
      </c>
    </row>
    <row r="14" spans="5:16" x14ac:dyDescent="0.25">
      <c r="H14" s="16" t="s">
        <v>74</v>
      </c>
      <c r="I14" s="13" t="s">
        <v>36</v>
      </c>
      <c r="J14" s="18" t="s">
        <v>37</v>
      </c>
      <c r="K14" s="13">
        <v>0.35</v>
      </c>
      <c r="L14" s="13">
        <v>0.73611111111111116</v>
      </c>
      <c r="M14" s="13" t="s">
        <v>5</v>
      </c>
      <c r="N14" s="7">
        <f>IF(OR(Table2[[#This Row],[Jam Masuk]]="-",Table2[[#This Row],[Jam Pulang]]="-"),0,Table2[[#This Row],[Jam Pulang]]-Table2[[#This Row],[Jam Masuk]])</f>
        <v>0.38611111111111118</v>
      </c>
      <c r="P14" s="27"/>
    </row>
    <row r="15" spans="5:16" x14ac:dyDescent="0.25">
      <c r="H15" s="16" t="s">
        <v>74</v>
      </c>
      <c r="I15" s="13" t="s">
        <v>38</v>
      </c>
      <c r="J15" s="18" t="s">
        <v>39</v>
      </c>
      <c r="K15" s="13">
        <v>0.34305555555555556</v>
      </c>
      <c r="L15" s="13">
        <v>0.72916666666666663</v>
      </c>
      <c r="M15" s="13" t="s">
        <v>44</v>
      </c>
      <c r="N15" s="7">
        <f>IF(OR(Table2[[#This Row],[Jam Masuk]]="-",Table2[[#This Row],[Jam Pulang]]="-"),0,Table2[[#This Row],[Jam Pulang]]-Table2[[#This Row],[Jam Masuk]])</f>
        <v>0.38611111111111107</v>
      </c>
    </row>
    <row r="16" spans="5:16" x14ac:dyDescent="0.25">
      <c r="H16" s="16" t="s">
        <v>74</v>
      </c>
      <c r="I16" s="13" t="s">
        <v>40</v>
      </c>
      <c r="J16" s="18" t="s">
        <v>41</v>
      </c>
      <c r="K16" s="13" t="s">
        <v>8</v>
      </c>
      <c r="L16" s="13" t="s">
        <v>8</v>
      </c>
      <c r="M16" s="13" t="s">
        <v>10</v>
      </c>
      <c r="N16" s="7">
        <f>IF(OR(Table2[[#This Row],[Jam Masuk]]="-",Table2[[#This Row],[Jam Pulang]]="-"),0,Table2[[#This Row],[Jam Pulang]]-Table2[[#This Row],[Jam Masuk]])</f>
        <v>0</v>
      </c>
    </row>
    <row r="17" spans="8:14" x14ac:dyDescent="0.25">
      <c r="H17" s="16" t="s">
        <v>73</v>
      </c>
      <c r="I17" s="13" t="s">
        <v>25</v>
      </c>
      <c r="J17" s="18" t="s">
        <v>4</v>
      </c>
      <c r="K17" s="13" t="s">
        <v>8</v>
      </c>
      <c r="L17" s="13" t="s">
        <v>8</v>
      </c>
      <c r="M17" s="13" t="s">
        <v>7</v>
      </c>
      <c r="N17" s="7">
        <f>IF(OR(Table2[[#This Row],[Jam Masuk]]="-",Table2[[#This Row],[Jam Pulang]]="-"),0,Table2[[#This Row],[Jam Pulang]]-Table2[[#This Row],[Jam Masuk]])</f>
        <v>0</v>
      </c>
    </row>
    <row r="18" spans="8:14" x14ac:dyDescent="0.25">
      <c r="H18" s="16" t="s">
        <v>73</v>
      </c>
      <c r="I18" s="13" t="s">
        <v>26</v>
      </c>
      <c r="J18" s="18" t="s">
        <v>6</v>
      </c>
      <c r="K18" s="13" t="s">
        <v>8</v>
      </c>
      <c r="L18" s="13" t="s">
        <v>8</v>
      </c>
      <c r="M18" s="13" t="s">
        <v>7</v>
      </c>
      <c r="N18" s="7">
        <f>IF(OR(Table2[[#This Row],[Jam Masuk]]="-",Table2[[#This Row],[Jam Pulang]]="-"),0,Table2[[#This Row],[Jam Pulang]]-Table2[[#This Row],[Jam Masuk]])</f>
        <v>0</v>
      </c>
    </row>
    <row r="19" spans="8:14" x14ac:dyDescent="0.25">
      <c r="H19" s="16" t="s">
        <v>73</v>
      </c>
      <c r="I19" s="13" t="s">
        <v>27</v>
      </c>
      <c r="J19" s="18" t="s">
        <v>28</v>
      </c>
      <c r="K19" s="13" t="s">
        <v>8</v>
      </c>
      <c r="L19" s="13" t="s">
        <v>8</v>
      </c>
      <c r="M19" s="13" t="s">
        <v>42</v>
      </c>
      <c r="N19" s="7">
        <f>IF(OR(Table2[[#This Row],[Jam Masuk]]="-",Table2[[#This Row],[Jam Pulang]]="-"),0,Table2[[#This Row],[Jam Pulang]]-Table2[[#This Row],[Jam Masuk]])</f>
        <v>0</v>
      </c>
    </row>
    <row r="20" spans="8:14" x14ac:dyDescent="0.25">
      <c r="H20" s="16" t="s">
        <v>73</v>
      </c>
      <c r="I20" s="13" t="s">
        <v>29</v>
      </c>
      <c r="J20" s="18" t="s">
        <v>9</v>
      </c>
      <c r="K20" s="13" t="s">
        <v>8</v>
      </c>
      <c r="L20" s="13" t="s">
        <v>8</v>
      </c>
      <c r="M20" s="13" t="s">
        <v>42</v>
      </c>
      <c r="N20" s="7">
        <f>IF(OR(Table2[[#This Row],[Jam Masuk]]="-",Table2[[#This Row],[Jam Pulang]]="-"),0,Table2[[#This Row],[Jam Pulang]]-Table2[[#This Row],[Jam Masuk]])</f>
        <v>0</v>
      </c>
    </row>
    <row r="21" spans="8:14" x14ac:dyDescent="0.25">
      <c r="H21" s="16" t="s">
        <v>73</v>
      </c>
      <c r="I21" s="13" t="s">
        <v>30</v>
      </c>
      <c r="J21" s="18" t="s">
        <v>31</v>
      </c>
      <c r="K21" s="13" t="s">
        <v>8</v>
      </c>
      <c r="L21" s="13" t="s">
        <v>8</v>
      </c>
      <c r="M21" s="13" t="s">
        <v>7</v>
      </c>
      <c r="N21" s="7">
        <f>IF(OR(Table2[[#This Row],[Jam Masuk]]="-",Table2[[#This Row],[Jam Pulang]]="-"),0,Table2[[#This Row],[Jam Pulang]]-Table2[[#This Row],[Jam Masuk]])</f>
        <v>0</v>
      </c>
    </row>
    <row r="22" spans="8:14" x14ac:dyDescent="0.25">
      <c r="H22" s="16" t="s">
        <v>73</v>
      </c>
      <c r="I22" s="13" t="s">
        <v>32</v>
      </c>
      <c r="J22" s="18" t="s">
        <v>33</v>
      </c>
      <c r="K22" s="13" t="s">
        <v>8</v>
      </c>
      <c r="L22" s="13" t="s">
        <v>8</v>
      </c>
      <c r="M22" s="13" t="s">
        <v>10</v>
      </c>
      <c r="N22" s="7">
        <f>IF(OR(Table2[[#This Row],[Jam Masuk]]="-",Table2[[#This Row],[Jam Pulang]]="-"),0,Table2[[#This Row],[Jam Pulang]]-Table2[[#This Row],[Jam Masuk]])</f>
        <v>0</v>
      </c>
    </row>
    <row r="23" spans="8:14" x14ac:dyDescent="0.25">
      <c r="H23" s="16" t="s">
        <v>73</v>
      </c>
      <c r="I23" s="13" t="s">
        <v>34</v>
      </c>
      <c r="J23" s="18" t="s">
        <v>35</v>
      </c>
      <c r="K23" s="13" t="s">
        <v>8</v>
      </c>
      <c r="L23" s="13" t="s">
        <v>8</v>
      </c>
      <c r="M23" s="13" t="s">
        <v>10</v>
      </c>
      <c r="N23" s="7">
        <f>IF(OR(Table2[[#This Row],[Jam Masuk]]="-",Table2[[#This Row],[Jam Pulang]]="-"),0,Table2[[#This Row],[Jam Pulang]]-Table2[[#This Row],[Jam Masuk]])</f>
        <v>0</v>
      </c>
    </row>
    <row r="24" spans="8:14" x14ac:dyDescent="0.25">
      <c r="H24" s="16" t="s">
        <v>73</v>
      </c>
      <c r="I24" s="13" t="s">
        <v>36</v>
      </c>
      <c r="J24" s="18" t="s">
        <v>37</v>
      </c>
      <c r="K24" s="13">
        <v>0.35902777777777778</v>
      </c>
      <c r="L24" s="13">
        <v>0.73958333333333337</v>
      </c>
      <c r="M24" s="13" t="s">
        <v>44</v>
      </c>
      <c r="N24" s="7">
        <f>IF(OR(Table2[[#This Row],[Jam Masuk]]="-",Table2[[#This Row],[Jam Pulang]]="-"),0,Table2[[#This Row],[Jam Pulang]]-Table2[[#This Row],[Jam Masuk]])</f>
        <v>0.38055555555555559</v>
      </c>
    </row>
    <row r="25" spans="8:14" x14ac:dyDescent="0.25">
      <c r="H25" s="16" t="s">
        <v>73</v>
      </c>
      <c r="I25" s="13" t="s">
        <v>38</v>
      </c>
      <c r="J25" s="18" t="s">
        <v>39</v>
      </c>
      <c r="K25" s="13">
        <v>0.34583333333333333</v>
      </c>
      <c r="L25" s="13">
        <v>0.72916666666666663</v>
      </c>
      <c r="M25" s="13" t="s">
        <v>5</v>
      </c>
      <c r="N25" s="7">
        <f>IF(OR(Table2[[#This Row],[Jam Masuk]]="-",Table2[[#This Row],[Jam Pulang]]="-"),0,Table2[[#This Row],[Jam Pulang]]-Table2[[#This Row],[Jam Masuk]])</f>
        <v>0.3833333333333333</v>
      </c>
    </row>
    <row r="26" spans="8:14" x14ac:dyDescent="0.25">
      <c r="H26" s="16" t="s">
        <v>73</v>
      </c>
      <c r="I26" s="13" t="s">
        <v>40</v>
      </c>
      <c r="J26" s="18" t="s">
        <v>41</v>
      </c>
      <c r="K26" s="13" t="s">
        <v>8</v>
      </c>
      <c r="L26" s="13" t="s">
        <v>8</v>
      </c>
      <c r="M26" s="13" t="s">
        <v>7</v>
      </c>
      <c r="N26" s="7">
        <f>IF(OR(Table2[[#This Row],[Jam Masuk]]="-",Table2[[#This Row],[Jam Pulang]]="-"),0,Table2[[#This Row],[Jam Pulang]]-Table2[[#This Row],[Jam Masuk]])</f>
        <v>0</v>
      </c>
    </row>
    <row r="27" spans="8:14" x14ac:dyDescent="0.25">
      <c r="H27" s="16" t="s">
        <v>72</v>
      </c>
      <c r="I27" s="13" t="s">
        <v>25</v>
      </c>
      <c r="J27" s="18" t="s">
        <v>4</v>
      </c>
      <c r="K27" s="13" t="s">
        <v>8</v>
      </c>
      <c r="L27" s="13" t="s">
        <v>8</v>
      </c>
      <c r="M27" s="13" t="s">
        <v>10</v>
      </c>
      <c r="N27" s="7">
        <f>IF(OR(Table2[[#This Row],[Jam Masuk]]="-",Table2[[#This Row],[Jam Pulang]]="-"),0,Table2[[#This Row],[Jam Pulang]]-Table2[[#This Row],[Jam Masuk]])</f>
        <v>0</v>
      </c>
    </row>
    <row r="28" spans="8:14" x14ac:dyDescent="0.25">
      <c r="H28" s="16" t="s">
        <v>72</v>
      </c>
      <c r="I28" s="13" t="s">
        <v>26</v>
      </c>
      <c r="J28" s="18" t="s">
        <v>6</v>
      </c>
      <c r="K28" s="13">
        <v>0.34027777777777779</v>
      </c>
      <c r="L28" s="13">
        <v>0.71250000000000002</v>
      </c>
      <c r="M28" s="13" t="s">
        <v>44</v>
      </c>
      <c r="N28" s="7">
        <f>IF(OR(Table2[[#This Row],[Jam Masuk]]="-",Table2[[#This Row],[Jam Pulang]]="-"),0,Table2[[#This Row],[Jam Pulang]]-Table2[[#This Row],[Jam Masuk]])</f>
        <v>0.37222222222222223</v>
      </c>
    </row>
    <row r="29" spans="8:14" x14ac:dyDescent="0.25">
      <c r="H29" s="16" t="s">
        <v>72</v>
      </c>
      <c r="I29" s="13" t="s">
        <v>27</v>
      </c>
      <c r="J29" s="18" t="s">
        <v>28</v>
      </c>
      <c r="K29" s="13">
        <v>0.35486111111111113</v>
      </c>
      <c r="L29" s="13">
        <v>0.73750000000000004</v>
      </c>
      <c r="M29" s="13" t="s">
        <v>44</v>
      </c>
      <c r="N29" s="7">
        <f>IF(OR(Table2[[#This Row],[Jam Masuk]]="-",Table2[[#This Row],[Jam Pulang]]="-"),0,Table2[[#This Row],[Jam Pulang]]-Table2[[#This Row],[Jam Masuk]])</f>
        <v>0.38263888888888892</v>
      </c>
    </row>
    <row r="30" spans="8:14" x14ac:dyDescent="0.25">
      <c r="H30" s="16" t="s">
        <v>72</v>
      </c>
      <c r="I30" s="13" t="s">
        <v>29</v>
      </c>
      <c r="J30" s="18" t="s">
        <v>9</v>
      </c>
      <c r="K30" s="13">
        <v>0.35625000000000001</v>
      </c>
      <c r="L30" s="13">
        <v>0.73472222222222228</v>
      </c>
      <c r="M30" s="13" t="s">
        <v>44</v>
      </c>
      <c r="N30" s="7">
        <f>IF(OR(Table2[[#This Row],[Jam Masuk]]="-",Table2[[#This Row],[Jam Pulang]]="-"),0,Table2[[#This Row],[Jam Pulang]]-Table2[[#This Row],[Jam Masuk]])</f>
        <v>0.37847222222222227</v>
      </c>
    </row>
    <row r="31" spans="8:14" x14ac:dyDescent="0.25">
      <c r="H31" s="16" t="s">
        <v>72</v>
      </c>
      <c r="I31" s="13" t="s">
        <v>30</v>
      </c>
      <c r="J31" s="18" t="s">
        <v>31</v>
      </c>
      <c r="K31" s="13" t="s">
        <v>8</v>
      </c>
      <c r="L31" s="13" t="s">
        <v>8</v>
      </c>
      <c r="M31" s="13" t="s">
        <v>42</v>
      </c>
      <c r="N31" s="7">
        <f>IF(OR(Table2[[#This Row],[Jam Masuk]]="-",Table2[[#This Row],[Jam Pulang]]="-"),0,Table2[[#This Row],[Jam Pulang]]-Table2[[#This Row],[Jam Masuk]])</f>
        <v>0</v>
      </c>
    </row>
    <row r="32" spans="8:14" x14ac:dyDescent="0.25">
      <c r="H32" s="16" t="s">
        <v>72</v>
      </c>
      <c r="I32" s="13" t="s">
        <v>32</v>
      </c>
      <c r="J32" s="18" t="s">
        <v>33</v>
      </c>
      <c r="K32" s="13" t="s">
        <v>8</v>
      </c>
      <c r="L32" s="13" t="s">
        <v>8</v>
      </c>
      <c r="M32" s="13" t="s">
        <v>42</v>
      </c>
      <c r="N32" s="7">
        <f>IF(OR(Table2[[#This Row],[Jam Masuk]]="-",Table2[[#This Row],[Jam Pulang]]="-"),0,Table2[[#This Row],[Jam Pulang]]-Table2[[#This Row],[Jam Masuk]])</f>
        <v>0</v>
      </c>
    </row>
    <row r="33" spans="8:14" x14ac:dyDescent="0.25">
      <c r="H33" s="16" t="s">
        <v>72</v>
      </c>
      <c r="I33" s="13" t="s">
        <v>34</v>
      </c>
      <c r="J33" s="18" t="s">
        <v>35</v>
      </c>
      <c r="K33" s="13" t="s">
        <v>8</v>
      </c>
      <c r="L33" s="13" t="s">
        <v>8</v>
      </c>
      <c r="M33" s="13" t="s">
        <v>7</v>
      </c>
      <c r="N33" s="7">
        <f>IF(OR(Table2[[#This Row],[Jam Masuk]]="-",Table2[[#This Row],[Jam Pulang]]="-"),0,Table2[[#This Row],[Jam Pulang]]-Table2[[#This Row],[Jam Masuk]])</f>
        <v>0</v>
      </c>
    </row>
    <row r="34" spans="8:14" x14ac:dyDescent="0.25">
      <c r="H34" s="16" t="s">
        <v>72</v>
      </c>
      <c r="I34" s="13" t="s">
        <v>36</v>
      </c>
      <c r="J34" s="18" t="s">
        <v>37</v>
      </c>
      <c r="K34" s="13" t="s">
        <v>8</v>
      </c>
      <c r="L34" s="13" t="s">
        <v>8</v>
      </c>
      <c r="M34" s="13" t="s">
        <v>10</v>
      </c>
      <c r="N34" s="7">
        <f>IF(OR(Table2[[#This Row],[Jam Masuk]]="-",Table2[[#This Row],[Jam Pulang]]="-"),0,Table2[[#This Row],[Jam Pulang]]-Table2[[#This Row],[Jam Masuk]])</f>
        <v>0</v>
      </c>
    </row>
    <row r="35" spans="8:14" x14ac:dyDescent="0.25">
      <c r="H35" s="16" t="s">
        <v>72</v>
      </c>
      <c r="I35" s="13" t="s">
        <v>38</v>
      </c>
      <c r="J35" s="18" t="s">
        <v>39</v>
      </c>
      <c r="K35" s="13">
        <v>0.34305555555555556</v>
      </c>
      <c r="L35" s="13">
        <v>0.72222222222222221</v>
      </c>
      <c r="M35" s="13" t="s">
        <v>5</v>
      </c>
      <c r="N35" s="7">
        <f>IF(OR(Table2[[#This Row],[Jam Masuk]]="-",Table2[[#This Row],[Jam Pulang]]="-"),0,Table2[[#This Row],[Jam Pulang]]-Table2[[#This Row],[Jam Masuk]])</f>
        <v>0.37916666666666665</v>
      </c>
    </row>
    <row r="36" spans="8:14" x14ac:dyDescent="0.25">
      <c r="H36" s="16" t="s">
        <v>72</v>
      </c>
      <c r="I36" s="13" t="s">
        <v>40</v>
      </c>
      <c r="J36" s="18" t="s">
        <v>41</v>
      </c>
      <c r="K36" s="13" t="s">
        <v>8</v>
      </c>
      <c r="L36" s="13" t="s">
        <v>8</v>
      </c>
      <c r="M36" s="13" t="s">
        <v>7</v>
      </c>
      <c r="N36" s="7">
        <f>IF(OR(Table2[[#This Row],[Jam Masuk]]="-",Table2[[#This Row],[Jam Pulang]]="-"),0,Table2[[#This Row],[Jam Pulang]]-Table2[[#This Row],[Jam Masuk]])</f>
        <v>0</v>
      </c>
    </row>
    <row r="37" spans="8:14" x14ac:dyDescent="0.25">
      <c r="H37" s="16" t="s">
        <v>71</v>
      </c>
      <c r="I37" s="13" t="s">
        <v>25</v>
      </c>
      <c r="J37" s="18" t="s">
        <v>4</v>
      </c>
      <c r="K37" s="13">
        <v>0.34027777777777779</v>
      </c>
      <c r="L37" s="13">
        <v>0.71388888888888891</v>
      </c>
      <c r="M37" s="13" t="s">
        <v>5</v>
      </c>
      <c r="N37" s="7">
        <f>IF(OR(Table2[[#This Row],[Jam Masuk]]="-",Table2[[#This Row],[Jam Pulang]]="-"),0,Table2[[#This Row],[Jam Pulang]]-Table2[[#This Row],[Jam Masuk]])</f>
        <v>0.37361111111111112</v>
      </c>
    </row>
    <row r="38" spans="8:14" x14ac:dyDescent="0.25">
      <c r="H38" s="16" t="s">
        <v>71</v>
      </c>
      <c r="I38" s="13" t="s">
        <v>26</v>
      </c>
      <c r="J38" s="18" t="s">
        <v>6</v>
      </c>
      <c r="K38" s="13" t="s">
        <v>8</v>
      </c>
      <c r="L38" s="13" t="s">
        <v>8</v>
      </c>
      <c r="M38" s="13" t="s">
        <v>7</v>
      </c>
      <c r="N38" s="7">
        <f>IF(OR(Table2[[#This Row],[Jam Masuk]]="-",Table2[[#This Row],[Jam Pulang]]="-"),0,Table2[[#This Row],[Jam Pulang]]-Table2[[#This Row],[Jam Masuk]])</f>
        <v>0</v>
      </c>
    </row>
    <row r="39" spans="8:14" x14ac:dyDescent="0.25">
      <c r="H39" s="16" t="s">
        <v>71</v>
      </c>
      <c r="I39" s="13" t="s">
        <v>27</v>
      </c>
      <c r="J39" s="18" t="s">
        <v>28</v>
      </c>
      <c r="K39" s="13">
        <v>0.34375</v>
      </c>
      <c r="L39" s="13">
        <v>0.74722222222222223</v>
      </c>
      <c r="M39" s="13" t="s">
        <v>5</v>
      </c>
      <c r="N39" s="7">
        <f>IF(OR(Table2[[#This Row],[Jam Masuk]]="-",Table2[[#This Row],[Jam Pulang]]="-"),0,Table2[[#This Row],[Jam Pulang]]-Table2[[#This Row],[Jam Masuk]])</f>
        <v>0.40347222222222223</v>
      </c>
    </row>
    <row r="40" spans="8:14" x14ac:dyDescent="0.25">
      <c r="H40" s="16" t="s">
        <v>71</v>
      </c>
      <c r="I40" s="13" t="s">
        <v>29</v>
      </c>
      <c r="J40" s="18" t="s">
        <v>9</v>
      </c>
      <c r="K40" s="13" t="s">
        <v>8</v>
      </c>
      <c r="L40" s="13" t="s">
        <v>8</v>
      </c>
      <c r="M40" s="13" t="s">
        <v>10</v>
      </c>
      <c r="N40" s="7">
        <f>IF(OR(Table2[[#This Row],[Jam Masuk]]="-",Table2[[#This Row],[Jam Pulang]]="-"),0,Table2[[#This Row],[Jam Pulang]]-Table2[[#This Row],[Jam Masuk]])</f>
        <v>0</v>
      </c>
    </row>
    <row r="41" spans="8:14" x14ac:dyDescent="0.25">
      <c r="H41" s="16" t="s">
        <v>71</v>
      </c>
      <c r="I41" s="13" t="s">
        <v>30</v>
      </c>
      <c r="J41" s="18" t="s">
        <v>31</v>
      </c>
      <c r="K41" s="13" t="s">
        <v>8</v>
      </c>
      <c r="L41" s="13" t="s">
        <v>8</v>
      </c>
      <c r="M41" s="13" t="s">
        <v>7</v>
      </c>
      <c r="N41" s="7">
        <f>IF(OR(Table2[[#This Row],[Jam Masuk]]="-",Table2[[#This Row],[Jam Pulang]]="-"),0,Table2[[#This Row],[Jam Pulang]]-Table2[[#This Row],[Jam Masuk]])</f>
        <v>0</v>
      </c>
    </row>
    <row r="42" spans="8:14" x14ac:dyDescent="0.25">
      <c r="H42" s="16" t="s">
        <v>71</v>
      </c>
      <c r="I42" s="13" t="s">
        <v>32</v>
      </c>
      <c r="J42" s="18" t="s">
        <v>33</v>
      </c>
      <c r="K42" s="13" t="s">
        <v>8</v>
      </c>
      <c r="L42" s="13" t="s">
        <v>8</v>
      </c>
      <c r="M42" s="13" t="s">
        <v>7</v>
      </c>
      <c r="N42" s="7">
        <f>IF(OR(Table2[[#This Row],[Jam Masuk]]="-",Table2[[#This Row],[Jam Pulang]]="-"),0,Table2[[#This Row],[Jam Pulang]]-Table2[[#This Row],[Jam Masuk]])</f>
        <v>0</v>
      </c>
    </row>
    <row r="43" spans="8:14" x14ac:dyDescent="0.25">
      <c r="H43" s="16" t="s">
        <v>71</v>
      </c>
      <c r="I43" s="13" t="s">
        <v>34</v>
      </c>
      <c r="J43" s="18" t="s">
        <v>35</v>
      </c>
      <c r="K43" s="13" t="s">
        <v>8</v>
      </c>
      <c r="L43" s="13" t="s">
        <v>8</v>
      </c>
      <c r="M43" s="13" t="s">
        <v>10</v>
      </c>
      <c r="N43" s="7">
        <f>IF(OR(Table2[[#This Row],[Jam Masuk]]="-",Table2[[#This Row],[Jam Pulang]]="-"),0,Table2[[#This Row],[Jam Pulang]]-Table2[[#This Row],[Jam Masuk]])</f>
        <v>0</v>
      </c>
    </row>
    <row r="44" spans="8:14" x14ac:dyDescent="0.25">
      <c r="H44" s="16" t="s">
        <v>71</v>
      </c>
      <c r="I44" s="13" t="s">
        <v>36</v>
      </c>
      <c r="J44" s="18" t="s">
        <v>37</v>
      </c>
      <c r="K44" s="13" t="s">
        <v>8</v>
      </c>
      <c r="L44" s="13" t="s">
        <v>8</v>
      </c>
      <c r="M44" s="13" t="s">
        <v>42</v>
      </c>
      <c r="N44" s="7">
        <f>IF(OR(Table2[[#This Row],[Jam Masuk]]="-",Table2[[#This Row],[Jam Pulang]]="-"),0,Table2[[#This Row],[Jam Pulang]]-Table2[[#This Row],[Jam Masuk]])</f>
        <v>0</v>
      </c>
    </row>
    <row r="45" spans="8:14" x14ac:dyDescent="0.25">
      <c r="H45" s="16" t="s">
        <v>71</v>
      </c>
      <c r="I45" s="13" t="s">
        <v>38</v>
      </c>
      <c r="J45" s="18" t="s">
        <v>39</v>
      </c>
      <c r="K45" s="13" t="s">
        <v>8</v>
      </c>
      <c r="L45" s="13" t="s">
        <v>8</v>
      </c>
      <c r="M45" s="13" t="s">
        <v>42</v>
      </c>
      <c r="N45" s="7">
        <f>IF(OR(Table2[[#This Row],[Jam Masuk]]="-",Table2[[#This Row],[Jam Pulang]]="-"),0,Table2[[#This Row],[Jam Pulang]]-Table2[[#This Row],[Jam Masuk]])</f>
        <v>0</v>
      </c>
    </row>
    <row r="46" spans="8:14" x14ac:dyDescent="0.25">
      <c r="H46" s="16" t="s">
        <v>71</v>
      </c>
      <c r="I46" s="13" t="s">
        <v>40</v>
      </c>
      <c r="J46" s="18" t="s">
        <v>41</v>
      </c>
      <c r="K46" s="13" t="s">
        <v>8</v>
      </c>
      <c r="L46" s="13" t="s">
        <v>8</v>
      </c>
      <c r="M46" s="13" t="s">
        <v>42</v>
      </c>
      <c r="N46" s="7">
        <f>IF(OR(Table2[[#This Row],[Jam Masuk]]="-",Table2[[#This Row],[Jam Pulang]]="-"),0,Table2[[#This Row],[Jam Pulang]]-Table2[[#This Row],[Jam Masuk]])</f>
        <v>0</v>
      </c>
    </row>
    <row r="47" spans="8:14" x14ac:dyDescent="0.25">
      <c r="H47" s="16" t="s">
        <v>70</v>
      </c>
      <c r="I47" s="13" t="s">
        <v>25</v>
      </c>
      <c r="J47" s="18" t="s">
        <v>4</v>
      </c>
      <c r="K47" s="13">
        <v>0.36875000000000002</v>
      </c>
      <c r="L47" s="13">
        <v>0.73541666666666672</v>
      </c>
      <c r="M47" s="13" t="s">
        <v>5</v>
      </c>
      <c r="N47" s="7">
        <f>IF(OR(Table2[[#This Row],[Jam Masuk]]="-",Table2[[#This Row],[Jam Pulang]]="-"),0,Table2[[#This Row],[Jam Pulang]]-Table2[[#This Row],[Jam Masuk]])</f>
        <v>0.3666666666666667</v>
      </c>
    </row>
    <row r="48" spans="8:14" x14ac:dyDescent="0.25">
      <c r="H48" s="16" t="s">
        <v>70</v>
      </c>
      <c r="I48" s="13" t="s">
        <v>26</v>
      </c>
      <c r="J48" s="18" t="s">
        <v>6</v>
      </c>
      <c r="K48" s="13">
        <v>0.35833333333333334</v>
      </c>
      <c r="L48" s="13">
        <v>0.71388888888888891</v>
      </c>
      <c r="M48" s="13" t="s">
        <v>44</v>
      </c>
      <c r="N48" s="7">
        <f>IF(OR(Table2[[#This Row],[Jam Masuk]]="-",Table2[[#This Row],[Jam Pulang]]="-"),0,Table2[[#This Row],[Jam Pulang]]-Table2[[#This Row],[Jam Masuk]])</f>
        <v>0.35555555555555557</v>
      </c>
    </row>
    <row r="49" spans="6:14" x14ac:dyDescent="0.25">
      <c r="H49" s="16" t="s">
        <v>70</v>
      </c>
      <c r="I49" s="13" t="s">
        <v>27</v>
      </c>
      <c r="J49" s="18" t="s">
        <v>28</v>
      </c>
      <c r="K49" s="13" t="s">
        <v>8</v>
      </c>
      <c r="L49" s="13" t="s">
        <v>8</v>
      </c>
      <c r="M49" s="13" t="s">
        <v>7</v>
      </c>
      <c r="N49" s="7">
        <f>IF(OR(Table2[[#This Row],[Jam Masuk]]="-",Table2[[#This Row],[Jam Pulang]]="-"),0,Table2[[#This Row],[Jam Pulang]]-Table2[[#This Row],[Jam Masuk]])</f>
        <v>0</v>
      </c>
    </row>
    <row r="50" spans="6:14" x14ac:dyDescent="0.25">
      <c r="H50" s="16" t="s">
        <v>70</v>
      </c>
      <c r="I50" s="13" t="s">
        <v>29</v>
      </c>
      <c r="J50" s="18" t="s">
        <v>9</v>
      </c>
      <c r="K50" s="13" t="s">
        <v>8</v>
      </c>
      <c r="L50" s="13" t="s">
        <v>8</v>
      </c>
      <c r="M50" s="13" t="s">
        <v>42</v>
      </c>
      <c r="N50" s="7">
        <f>IF(OR(Table2[[#This Row],[Jam Masuk]]="-",Table2[[#This Row],[Jam Pulang]]="-"),0,Table2[[#This Row],[Jam Pulang]]-Table2[[#This Row],[Jam Masuk]])</f>
        <v>0</v>
      </c>
    </row>
    <row r="51" spans="6:14" x14ac:dyDescent="0.25">
      <c r="H51" s="16" t="s">
        <v>70</v>
      </c>
      <c r="I51" s="13" t="s">
        <v>30</v>
      </c>
      <c r="J51" s="18" t="s">
        <v>31</v>
      </c>
      <c r="K51" s="13" t="s">
        <v>8</v>
      </c>
      <c r="L51" s="13" t="s">
        <v>8</v>
      </c>
      <c r="M51" s="13" t="s">
        <v>42</v>
      </c>
      <c r="N51" s="7">
        <f>IF(OR(Table2[[#This Row],[Jam Masuk]]="-",Table2[[#This Row],[Jam Pulang]]="-"),0,Table2[[#This Row],[Jam Pulang]]-Table2[[#This Row],[Jam Masuk]])</f>
        <v>0</v>
      </c>
    </row>
    <row r="52" spans="6:14" x14ac:dyDescent="0.25">
      <c r="H52" s="16" t="s">
        <v>70</v>
      </c>
      <c r="I52" s="13" t="s">
        <v>32</v>
      </c>
      <c r="J52" s="18" t="s">
        <v>33</v>
      </c>
      <c r="K52" s="13">
        <v>0.34027777777777779</v>
      </c>
      <c r="L52" s="13">
        <v>0.74652777777777779</v>
      </c>
      <c r="M52" s="13" t="s">
        <v>44</v>
      </c>
      <c r="N52" s="7">
        <f>IF(OR(Table2[[#This Row],[Jam Masuk]]="-",Table2[[#This Row],[Jam Pulang]]="-"),0,Table2[[#This Row],[Jam Pulang]]-Table2[[#This Row],[Jam Masuk]])</f>
        <v>0.40625</v>
      </c>
    </row>
    <row r="53" spans="6:14" x14ac:dyDescent="0.25">
      <c r="H53" s="16" t="s">
        <v>70</v>
      </c>
      <c r="I53" s="13" t="s">
        <v>34</v>
      </c>
      <c r="J53" s="18" t="s">
        <v>35</v>
      </c>
      <c r="K53" s="13" t="s">
        <v>8</v>
      </c>
      <c r="L53" s="13" t="s">
        <v>8</v>
      </c>
      <c r="M53" s="13" t="s">
        <v>42</v>
      </c>
      <c r="N53" s="7">
        <f>IF(OR(Table2[[#This Row],[Jam Masuk]]="-",Table2[[#This Row],[Jam Pulang]]="-"),0,Table2[[#This Row],[Jam Pulang]]-Table2[[#This Row],[Jam Masuk]])</f>
        <v>0</v>
      </c>
    </row>
    <row r="54" spans="6:14" x14ac:dyDescent="0.25">
      <c r="H54" s="16" t="s">
        <v>70</v>
      </c>
      <c r="I54" s="13" t="s">
        <v>36</v>
      </c>
      <c r="J54" s="18" t="s">
        <v>37</v>
      </c>
      <c r="K54" s="13" t="s">
        <v>8</v>
      </c>
      <c r="L54" s="13" t="s">
        <v>8</v>
      </c>
      <c r="M54" s="13" t="s">
        <v>10</v>
      </c>
      <c r="N54" s="7">
        <f>IF(OR(Table2[[#This Row],[Jam Masuk]]="-",Table2[[#This Row],[Jam Pulang]]="-"),0,Table2[[#This Row],[Jam Pulang]]-Table2[[#This Row],[Jam Masuk]])</f>
        <v>0</v>
      </c>
    </row>
    <row r="55" spans="6:14" x14ac:dyDescent="0.25">
      <c r="H55" s="16" t="s">
        <v>70</v>
      </c>
      <c r="I55" s="13" t="s">
        <v>38</v>
      </c>
      <c r="J55" s="18" t="s">
        <v>39</v>
      </c>
      <c r="K55" s="13">
        <v>0.34444444444444444</v>
      </c>
      <c r="L55" s="13">
        <v>0.74097222222222225</v>
      </c>
      <c r="M55" s="13" t="s">
        <v>44</v>
      </c>
      <c r="N55" s="7">
        <f>IF(OR(Table2[[#This Row],[Jam Masuk]]="-",Table2[[#This Row],[Jam Pulang]]="-"),0,Table2[[#This Row],[Jam Pulang]]-Table2[[#This Row],[Jam Masuk]])</f>
        <v>0.39652777777777781</v>
      </c>
    </row>
    <row r="56" spans="6:14" x14ac:dyDescent="0.25">
      <c r="H56" s="16" t="s">
        <v>70</v>
      </c>
      <c r="I56" s="13" t="s">
        <v>40</v>
      </c>
      <c r="J56" s="18" t="s">
        <v>41</v>
      </c>
      <c r="K56" s="13">
        <v>0.35347222222222224</v>
      </c>
      <c r="L56" s="13">
        <v>0.72291666666666665</v>
      </c>
      <c r="M56" s="13" t="s">
        <v>44</v>
      </c>
      <c r="N56" s="7">
        <f>IF(OR(Table2[[#This Row],[Jam Masuk]]="-",Table2[[#This Row],[Jam Pulang]]="-"),0,Table2[[#This Row],[Jam Pulang]]-Table2[[#This Row],[Jam Masuk]])</f>
        <v>0.36944444444444441</v>
      </c>
    </row>
    <row r="57" spans="6:14" x14ac:dyDescent="0.25">
      <c r="H57" s="16" t="s">
        <v>69</v>
      </c>
      <c r="I57" s="13" t="s">
        <v>25</v>
      </c>
      <c r="J57" s="18" t="s">
        <v>4</v>
      </c>
      <c r="K57" s="13" t="s">
        <v>8</v>
      </c>
      <c r="L57" s="13" t="s">
        <v>8</v>
      </c>
      <c r="M57" s="13" t="s">
        <v>7</v>
      </c>
      <c r="N57" s="7">
        <f>IF(OR(Table2[[#This Row],[Jam Masuk]]="-",Table2[[#This Row],[Jam Pulang]]="-"),0,Table2[[#This Row],[Jam Pulang]]-Table2[[#This Row],[Jam Masuk]])</f>
        <v>0</v>
      </c>
    </row>
    <row r="58" spans="6:14" x14ac:dyDescent="0.25">
      <c r="H58" s="16" t="s">
        <v>69</v>
      </c>
      <c r="I58" s="13" t="s">
        <v>26</v>
      </c>
      <c r="J58" s="18" t="s">
        <v>6</v>
      </c>
      <c r="K58" s="13">
        <v>0.36736111111111114</v>
      </c>
      <c r="L58" s="13">
        <v>0.70833333333333337</v>
      </c>
      <c r="M58" s="13" t="s">
        <v>44</v>
      </c>
      <c r="N58" s="7">
        <f>IF(OR(Table2[[#This Row],[Jam Masuk]]="-",Table2[[#This Row],[Jam Pulang]]="-"),0,Table2[[#This Row],[Jam Pulang]]-Table2[[#This Row],[Jam Masuk]])</f>
        <v>0.34097222222222223</v>
      </c>
    </row>
    <row r="59" spans="6:14" x14ac:dyDescent="0.25">
      <c r="H59" s="16" t="s">
        <v>69</v>
      </c>
      <c r="I59" s="13" t="s">
        <v>27</v>
      </c>
      <c r="J59" s="18" t="s">
        <v>28</v>
      </c>
      <c r="K59" s="13">
        <v>0.36666666666666664</v>
      </c>
      <c r="L59" s="13">
        <v>0.73055555555555551</v>
      </c>
      <c r="M59" s="13" t="s">
        <v>44</v>
      </c>
      <c r="N59" s="7">
        <f>IF(OR(Table2[[#This Row],[Jam Masuk]]="-",Table2[[#This Row],[Jam Pulang]]="-"),0,Table2[[#This Row],[Jam Pulang]]-Table2[[#This Row],[Jam Masuk]])</f>
        <v>0.36388888888888887</v>
      </c>
    </row>
    <row r="60" spans="6:14" x14ac:dyDescent="0.25">
      <c r="H60" s="16" t="s">
        <v>69</v>
      </c>
      <c r="I60" s="13" t="s">
        <v>29</v>
      </c>
      <c r="J60" s="18" t="s">
        <v>9</v>
      </c>
      <c r="K60" s="13">
        <v>0.36736111111111114</v>
      </c>
      <c r="L60" s="13">
        <v>0.71388888888888891</v>
      </c>
      <c r="M60" s="13" t="s">
        <v>44</v>
      </c>
      <c r="N60" s="7">
        <f>IF(OR(Table2[[#This Row],[Jam Masuk]]="-",Table2[[#This Row],[Jam Pulang]]="-"),0,Table2[[#This Row],[Jam Pulang]]-Table2[[#This Row],[Jam Masuk]])</f>
        <v>0.34652777777777777</v>
      </c>
    </row>
    <row r="61" spans="6:14" x14ac:dyDescent="0.25">
      <c r="H61" s="16" t="s">
        <v>69</v>
      </c>
      <c r="I61" s="13" t="s">
        <v>30</v>
      </c>
      <c r="J61" s="18" t="s">
        <v>31</v>
      </c>
      <c r="K61" s="13" t="s">
        <v>8</v>
      </c>
      <c r="L61" s="13" t="s">
        <v>8</v>
      </c>
      <c r="M61" s="13" t="s">
        <v>7</v>
      </c>
      <c r="N61" s="7">
        <f>IF(OR(Table2[[#This Row],[Jam Masuk]]="-",Table2[[#This Row],[Jam Pulang]]="-"),0,Table2[[#This Row],[Jam Pulang]]-Table2[[#This Row],[Jam Masuk]])</f>
        <v>0</v>
      </c>
    </row>
    <row r="62" spans="6:14" x14ac:dyDescent="0.25">
      <c r="F62" s="9"/>
      <c r="H62" s="16" t="s">
        <v>69</v>
      </c>
      <c r="I62" s="13" t="s">
        <v>32</v>
      </c>
      <c r="J62" s="18" t="s">
        <v>33</v>
      </c>
      <c r="K62" s="13" t="s">
        <v>8</v>
      </c>
      <c r="L62" s="13" t="s">
        <v>8</v>
      </c>
      <c r="M62" s="13" t="s">
        <v>42</v>
      </c>
      <c r="N62" s="7">
        <f>IF(OR(Table2[[#This Row],[Jam Masuk]]="-",Table2[[#This Row],[Jam Pulang]]="-"),0,Table2[[#This Row],[Jam Pulang]]-Table2[[#This Row],[Jam Masuk]])</f>
        <v>0</v>
      </c>
    </row>
    <row r="63" spans="6:14" x14ac:dyDescent="0.25">
      <c r="H63" s="16" t="s">
        <v>69</v>
      </c>
      <c r="I63" s="13" t="s">
        <v>34</v>
      </c>
      <c r="J63" s="18" t="s">
        <v>35</v>
      </c>
      <c r="K63" s="13" t="s">
        <v>8</v>
      </c>
      <c r="L63" s="13" t="s">
        <v>8</v>
      </c>
      <c r="M63" s="13" t="s">
        <v>42</v>
      </c>
      <c r="N63" s="7">
        <f>IF(OR(Table2[[#This Row],[Jam Masuk]]="-",Table2[[#This Row],[Jam Pulang]]="-"),0,Table2[[#This Row],[Jam Pulang]]-Table2[[#This Row],[Jam Masuk]])</f>
        <v>0</v>
      </c>
    </row>
    <row r="64" spans="6:14" x14ac:dyDescent="0.25">
      <c r="H64" s="16" t="s">
        <v>69</v>
      </c>
      <c r="I64" s="13" t="s">
        <v>36</v>
      </c>
      <c r="J64" s="18" t="s">
        <v>37</v>
      </c>
      <c r="K64" s="13" t="s">
        <v>8</v>
      </c>
      <c r="L64" s="13" t="s">
        <v>8</v>
      </c>
      <c r="M64" s="13" t="s">
        <v>7</v>
      </c>
      <c r="N64" s="7">
        <f>IF(OR(Table2[[#This Row],[Jam Masuk]]="-",Table2[[#This Row],[Jam Pulang]]="-"),0,Table2[[#This Row],[Jam Pulang]]-Table2[[#This Row],[Jam Masuk]])</f>
        <v>0</v>
      </c>
    </row>
    <row r="65" spans="8:14" x14ac:dyDescent="0.25">
      <c r="H65" s="16" t="s">
        <v>69</v>
      </c>
      <c r="I65" s="13" t="s">
        <v>38</v>
      </c>
      <c r="J65" s="18" t="s">
        <v>39</v>
      </c>
      <c r="K65" s="13" t="s">
        <v>8</v>
      </c>
      <c r="L65" s="13" t="s">
        <v>8</v>
      </c>
      <c r="M65" s="13" t="s">
        <v>10</v>
      </c>
      <c r="N65" s="7">
        <f>IF(OR(Table2[[#This Row],[Jam Masuk]]="-",Table2[[#This Row],[Jam Pulang]]="-"),0,Table2[[#This Row],[Jam Pulang]]-Table2[[#This Row],[Jam Masuk]])</f>
        <v>0</v>
      </c>
    </row>
    <row r="66" spans="8:14" x14ac:dyDescent="0.25">
      <c r="H66" s="16" t="s">
        <v>69</v>
      </c>
      <c r="I66" s="13" t="s">
        <v>40</v>
      </c>
      <c r="J66" s="18" t="s">
        <v>41</v>
      </c>
      <c r="K66" s="13">
        <v>0.33611111111111114</v>
      </c>
      <c r="L66" s="13">
        <v>0.70833333333333337</v>
      </c>
      <c r="M66" s="13" t="s">
        <v>5</v>
      </c>
      <c r="N66" s="7">
        <f>IF(OR(Table2[[#This Row],[Jam Masuk]]="-",Table2[[#This Row],[Jam Pulang]]="-"),0,Table2[[#This Row],[Jam Pulang]]-Table2[[#This Row],[Jam Masuk]])</f>
        <v>0.37222222222222223</v>
      </c>
    </row>
    <row r="67" spans="8:14" x14ac:dyDescent="0.25">
      <c r="H67" s="16" t="s">
        <v>68</v>
      </c>
      <c r="I67" s="13" t="s">
        <v>25</v>
      </c>
      <c r="J67" s="18" t="s">
        <v>4</v>
      </c>
      <c r="K67" s="13" t="s">
        <v>8</v>
      </c>
      <c r="L67" s="13" t="s">
        <v>8</v>
      </c>
      <c r="M67" s="13" t="s">
        <v>10</v>
      </c>
      <c r="N67" s="7">
        <f>IF(OR(Table2[[#This Row],[Jam Masuk]]="-",Table2[[#This Row],[Jam Pulang]]="-"),0,Table2[[#This Row],[Jam Pulang]]-Table2[[#This Row],[Jam Masuk]])</f>
        <v>0</v>
      </c>
    </row>
    <row r="68" spans="8:14" x14ac:dyDescent="0.25">
      <c r="H68" s="16" t="s">
        <v>68</v>
      </c>
      <c r="I68" s="13" t="s">
        <v>26</v>
      </c>
      <c r="J68" s="18" t="s">
        <v>6</v>
      </c>
      <c r="K68" s="13" t="s">
        <v>8</v>
      </c>
      <c r="L68" s="13" t="s">
        <v>8</v>
      </c>
      <c r="M68" s="13" t="s">
        <v>10</v>
      </c>
      <c r="N68" s="7">
        <f>IF(OR(Table2[[#This Row],[Jam Masuk]]="-",Table2[[#This Row],[Jam Pulang]]="-"),0,Table2[[#This Row],[Jam Pulang]]-Table2[[#This Row],[Jam Masuk]])</f>
        <v>0</v>
      </c>
    </row>
    <row r="69" spans="8:14" x14ac:dyDescent="0.25">
      <c r="H69" s="16" t="s">
        <v>68</v>
      </c>
      <c r="I69" s="13" t="s">
        <v>27</v>
      </c>
      <c r="J69" s="18" t="s">
        <v>28</v>
      </c>
      <c r="K69" s="13">
        <v>0.34791666666666665</v>
      </c>
      <c r="L69" s="13">
        <v>0.73888888888888893</v>
      </c>
      <c r="M69" s="13" t="s">
        <v>44</v>
      </c>
      <c r="N69" s="7">
        <f>IF(OR(Table2[[#This Row],[Jam Masuk]]="-",Table2[[#This Row],[Jam Pulang]]="-"),0,Table2[[#This Row],[Jam Pulang]]-Table2[[#This Row],[Jam Masuk]])</f>
        <v>0.39097222222222228</v>
      </c>
    </row>
    <row r="70" spans="8:14" x14ac:dyDescent="0.25">
      <c r="H70" s="16" t="s">
        <v>68</v>
      </c>
      <c r="I70" s="13" t="s">
        <v>29</v>
      </c>
      <c r="J70" s="18" t="s">
        <v>9</v>
      </c>
      <c r="K70" s="13">
        <v>0.33958333333333335</v>
      </c>
      <c r="L70" s="13">
        <v>0.72361111111111109</v>
      </c>
      <c r="M70" s="13" t="s">
        <v>44</v>
      </c>
      <c r="N70" s="7">
        <f>IF(OR(Table2[[#This Row],[Jam Masuk]]="-",Table2[[#This Row],[Jam Pulang]]="-"),0,Table2[[#This Row],[Jam Pulang]]-Table2[[#This Row],[Jam Masuk]])</f>
        <v>0.38402777777777775</v>
      </c>
    </row>
    <row r="71" spans="8:14" x14ac:dyDescent="0.25">
      <c r="H71" s="16" t="s">
        <v>68</v>
      </c>
      <c r="I71" s="13" t="s">
        <v>30</v>
      </c>
      <c r="J71" s="18" t="s">
        <v>31</v>
      </c>
      <c r="K71" s="13" t="s">
        <v>8</v>
      </c>
      <c r="L71" s="13" t="s">
        <v>8</v>
      </c>
      <c r="M71" s="13" t="s">
        <v>7</v>
      </c>
      <c r="N71" s="7">
        <f>IF(OR(Table2[[#This Row],[Jam Masuk]]="-",Table2[[#This Row],[Jam Pulang]]="-"),0,Table2[[#This Row],[Jam Pulang]]-Table2[[#This Row],[Jam Masuk]])</f>
        <v>0</v>
      </c>
    </row>
    <row r="72" spans="8:14" x14ac:dyDescent="0.25">
      <c r="H72" s="16" t="s">
        <v>68</v>
      </c>
      <c r="I72" s="13" t="s">
        <v>32</v>
      </c>
      <c r="J72" s="18" t="s">
        <v>33</v>
      </c>
      <c r="K72" s="13" t="s">
        <v>8</v>
      </c>
      <c r="L72" s="13" t="s">
        <v>8</v>
      </c>
      <c r="M72" s="13" t="s">
        <v>42</v>
      </c>
      <c r="N72" s="7">
        <f>IF(OR(Table2[[#This Row],[Jam Masuk]]="-",Table2[[#This Row],[Jam Pulang]]="-"),0,Table2[[#This Row],[Jam Pulang]]-Table2[[#This Row],[Jam Masuk]])</f>
        <v>0</v>
      </c>
    </row>
    <row r="73" spans="8:14" x14ac:dyDescent="0.25">
      <c r="H73" s="16" t="s">
        <v>68</v>
      </c>
      <c r="I73" s="13" t="s">
        <v>34</v>
      </c>
      <c r="J73" s="18" t="s">
        <v>35</v>
      </c>
      <c r="K73" s="13" t="s">
        <v>8</v>
      </c>
      <c r="L73" s="13" t="s">
        <v>8</v>
      </c>
      <c r="M73" s="13" t="s">
        <v>7</v>
      </c>
      <c r="N73" s="7">
        <f>IF(OR(Table2[[#This Row],[Jam Masuk]]="-",Table2[[#This Row],[Jam Pulang]]="-"),0,Table2[[#This Row],[Jam Pulang]]-Table2[[#This Row],[Jam Masuk]])</f>
        <v>0</v>
      </c>
    </row>
    <row r="74" spans="8:14" x14ac:dyDescent="0.25">
      <c r="H74" s="16" t="s">
        <v>68</v>
      </c>
      <c r="I74" s="13" t="s">
        <v>36</v>
      </c>
      <c r="J74" s="18" t="s">
        <v>37</v>
      </c>
      <c r="K74" s="13">
        <v>0.34652777777777777</v>
      </c>
      <c r="L74" s="13">
        <v>0.7270833333333333</v>
      </c>
      <c r="M74" s="13" t="s">
        <v>5</v>
      </c>
      <c r="N74" s="7">
        <f>IF(OR(Table2[[#This Row],[Jam Masuk]]="-",Table2[[#This Row],[Jam Pulang]]="-"),0,Table2[[#This Row],[Jam Pulang]]-Table2[[#This Row],[Jam Masuk]])</f>
        <v>0.38055555555555554</v>
      </c>
    </row>
    <row r="75" spans="8:14" x14ac:dyDescent="0.25">
      <c r="H75" s="16" t="s">
        <v>68</v>
      </c>
      <c r="I75" s="13" t="s">
        <v>38</v>
      </c>
      <c r="J75" s="18" t="s">
        <v>39</v>
      </c>
      <c r="K75" s="13" t="s">
        <v>8</v>
      </c>
      <c r="L75" s="13" t="s">
        <v>8</v>
      </c>
      <c r="M75" s="13" t="s">
        <v>7</v>
      </c>
      <c r="N75" s="7">
        <f>IF(OR(Table2[[#This Row],[Jam Masuk]]="-",Table2[[#This Row],[Jam Pulang]]="-"),0,Table2[[#This Row],[Jam Pulang]]-Table2[[#This Row],[Jam Masuk]])</f>
        <v>0</v>
      </c>
    </row>
    <row r="76" spans="8:14" x14ac:dyDescent="0.25">
      <c r="H76" s="16" t="s">
        <v>68</v>
      </c>
      <c r="I76" s="13" t="s">
        <v>40</v>
      </c>
      <c r="J76" s="18" t="s">
        <v>41</v>
      </c>
      <c r="K76" s="13" t="s">
        <v>8</v>
      </c>
      <c r="L76" s="13" t="s">
        <v>8</v>
      </c>
      <c r="M76" s="13" t="s">
        <v>42</v>
      </c>
      <c r="N76" s="7">
        <f>IF(OR(Table2[[#This Row],[Jam Masuk]]="-",Table2[[#This Row],[Jam Pulang]]="-"),0,Table2[[#This Row],[Jam Pulang]]-Table2[[#This Row],[Jam Masuk]])</f>
        <v>0</v>
      </c>
    </row>
    <row r="77" spans="8:14" x14ac:dyDescent="0.25">
      <c r="H77" s="16" t="s">
        <v>67</v>
      </c>
      <c r="I77" s="13" t="s">
        <v>25</v>
      </c>
      <c r="J77" s="18" t="s">
        <v>4</v>
      </c>
      <c r="K77" s="13" t="s">
        <v>8</v>
      </c>
      <c r="L77" s="13" t="s">
        <v>8</v>
      </c>
      <c r="M77" s="13" t="s">
        <v>10</v>
      </c>
      <c r="N77" s="7">
        <f>IF(OR(Table2[[#This Row],[Jam Masuk]]="-",Table2[[#This Row],[Jam Pulang]]="-"),0,Table2[[#This Row],[Jam Pulang]]-Table2[[#This Row],[Jam Masuk]])</f>
        <v>0</v>
      </c>
    </row>
    <row r="78" spans="8:14" x14ac:dyDescent="0.25">
      <c r="H78" s="16" t="s">
        <v>67</v>
      </c>
      <c r="I78" s="13" t="s">
        <v>26</v>
      </c>
      <c r="J78" s="18" t="s">
        <v>6</v>
      </c>
      <c r="K78" s="13" t="s">
        <v>8</v>
      </c>
      <c r="L78" s="13" t="s">
        <v>8</v>
      </c>
      <c r="M78" s="13" t="s">
        <v>10</v>
      </c>
      <c r="N78" s="7">
        <f>IF(OR(Table2[[#This Row],[Jam Masuk]]="-",Table2[[#This Row],[Jam Pulang]]="-"),0,Table2[[#This Row],[Jam Pulang]]-Table2[[#This Row],[Jam Masuk]])</f>
        <v>0</v>
      </c>
    </row>
    <row r="79" spans="8:14" x14ac:dyDescent="0.25">
      <c r="H79" s="16" t="s">
        <v>67</v>
      </c>
      <c r="I79" s="13" t="s">
        <v>27</v>
      </c>
      <c r="J79" s="18" t="s">
        <v>28</v>
      </c>
      <c r="K79" s="13">
        <v>0.3527777777777778</v>
      </c>
      <c r="L79" s="13">
        <v>0.73402777777777772</v>
      </c>
      <c r="M79" s="13" t="s">
        <v>5</v>
      </c>
      <c r="N79" s="7">
        <f>IF(OR(Table2[[#This Row],[Jam Masuk]]="-",Table2[[#This Row],[Jam Pulang]]="-"),0,Table2[[#This Row],[Jam Pulang]]-Table2[[#This Row],[Jam Masuk]])</f>
        <v>0.38124999999999992</v>
      </c>
    </row>
    <row r="80" spans="8:14" x14ac:dyDescent="0.25">
      <c r="H80" s="16" t="s">
        <v>67</v>
      </c>
      <c r="I80" s="13" t="s">
        <v>29</v>
      </c>
      <c r="J80" s="18" t="s">
        <v>9</v>
      </c>
      <c r="K80" s="13">
        <v>0.33819444444444446</v>
      </c>
      <c r="L80" s="13">
        <v>0.73888888888888893</v>
      </c>
      <c r="M80" s="13" t="s">
        <v>5</v>
      </c>
      <c r="N80" s="7">
        <f>IF(OR(Table2[[#This Row],[Jam Masuk]]="-",Table2[[#This Row],[Jam Pulang]]="-"),0,Table2[[#This Row],[Jam Pulang]]-Table2[[#This Row],[Jam Masuk]])</f>
        <v>0.40069444444444446</v>
      </c>
    </row>
    <row r="81" spans="8:14" x14ac:dyDescent="0.25">
      <c r="H81" s="16" t="s">
        <v>67</v>
      </c>
      <c r="I81" s="13" t="s">
        <v>30</v>
      </c>
      <c r="J81" s="18" t="s">
        <v>31</v>
      </c>
      <c r="K81" s="13">
        <v>0.34305555555555556</v>
      </c>
      <c r="L81" s="13">
        <v>0.7104166666666667</v>
      </c>
      <c r="M81" s="13" t="s">
        <v>44</v>
      </c>
      <c r="N81" s="7">
        <f>IF(OR(Table2[[#This Row],[Jam Masuk]]="-",Table2[[#This Row],[Jam Pulang]]="-"),0,Table2[[#This Row],[Jam Pulang]]-Table2[[#This Row],[Jam Masuk]])</f>
        <v>0.36736111111111114</v>
      </c>
    </row>
    <row r="82" spans="8:14" x14ac:dyDescent="0.25">
      <c r="H82" s="16" t="s">
        <v>67</v>
      </c>
      <c r="I82" s="13" t="s">
        <v>32</v>
      </c>
      <c r="J82" s="18" t="s">
        <v>33</v>
      </c>
      <c r="K82" s="13" t="s">
        <v>8</v>
      </c>
      <c r="L82" s="13" t="s">
        <v>8</v>
      </c>
      <c r="M82" s="13" t="s">
        <v>10</v>
      </c>
      <c r="N82" s="7">
        <f>IF(OR(Table2[[#This Row],[Jam Masuk]]="-",Table2[[#This Row],[Jam Pulang]]="-"),0,Table2[[#This Row],[Jam Pulang]]-Table2[[#This Row],[Jam Masuk]])</f>
        <v>0</v>
      </c>
    </row>
    <row r="83" spans="8:14" x14ac:dyDescent="0.25">
      <c r="H83" s="16" t="s">
        <v>67</v>
      </c>
      <c r="I83" s="13" t="s">
        <v>34</v>
      </c>
      <c r="J83" s="18" t="s">
        <v>35</v>
      </c>
      <c r="K83" s="13">
        <v>0.36041666666666666</v>
      </c>
      <c r="L83" s="13">
        <v>0.71458333333333335</v>
      </c>
      <c r="M83" s="13" t="s">
        <v>44</v>
      </c>
      <c r="N83" s="7">
        <f>IF(OR(Table2[[#This Row],[Jam Masuk]]="-",Table2[[#This Row],[Jam Pulang]]="-"),0,Table2[[#This Row],[Jam Pulang]]-Table2[[#This Row],[Jam Masuk]])</f>
        <v>0.35416666666666669</v>
      </c>
    </row>
    <row r="84" spans="8:14" x14ac:dyDescent="0.25">
      <c r="H84" s="16" t="s">
        <v>67</v>
      </c>
      <c r="I84" s="13" t="s">
        <v>36</v>
      </c>
      <c r="J84" s="18" t="s">
        <v>37</v>
      </c>
      <c r="K84" s="13">
        <v>0.37361111111111112</v>
      </c>
      <c r="L84" s="13">
        <v>0.73819444444444449</v>
      </c>
      <c r="M84" s="13" t="s">
        <v>44</v>
      </c>
      <c r="N84" s="7">
        <f>IF(OR(Table2[[#This Row],[Jam Masuk]]="-",Table2[[#This Row],[Jam Pulang]]="-"),0,Table2[[#This Row],[Jam Pulang]]-Table2[[#This Row],[Jam Masuk]])</f>
        <v>0.36458333333333337</v>
      </c>
    </row>
    <row r="85" spans="8:14" x14ac:dyDescent="0.25">
      <c r="H85" s="16" t="s">
        <v>67</v>
      </c>
      <c r="I85" s="13" t="s">
        <v>38</v>
      </c>
      <c r="J85" s="18" t="s">
        <v>39</v>
      </c>
      <c r="K85" s="13" t="s">
        <v>8</v>
      </c>
      <c r="L85" s="13" t="s">
        <v>8</v>
      </c>
      <c r="M85" s="13" t="s">
        <v>42</v>
      </c>
      <c r="N85" s="7">
        <f>IF(OR(Table2[[#This Row],[Jam Masuk]]="-",Table2[[#This Row],[Jam Pulang]]="-"),0,Table2[[#This Row],[Jam Pulang]]-Table2[[#This Row],[Jam Masuk]])</f>
        <v>0</v>
      </c>
    </row>
    <row r="86" spans="8:14" x14ac:dyDescent="0.25">
      <c r="H86" s="16" t="s">
        <v>67</v>
      </c>
      <c r="I86" s="13" t="s">
        <v>40</v>
      </c>
      <c r="J86" s="18" t="s">
        <v>41</v>
      </c>
      <c r="K86" s="13">
        <v>0.37430555555555556</v>
      </c>
      <c r="L86" s="13">
        <v>0.74722222222222223</v>
      </c>
      <c r="M86" s="13" t="s">
        <v>44</v>
      </c>
      <c r="N86" s="7">
        <f>IF(OR(Table2[[#This Row],[Jam Masuk]]="-",Table2[[#This Row],[Jam Pulang]]="-"),0,Table2[[#This Row],[Jam Pulang]]-Table2[[#This Row],[Jam Masuk]])</f>
        <v>0.37291666666666667</v>
      </c>
    </row>
    <row r="87" spans="8:14" x14ac:dyDescent="0.25">
      <c r="H87" s="16" t="s">
        <v>66</v>
      </c>
      <c r="I87" s="13" t="s">
        <v>25</v>
      </c>
      <c r="J87" s="18" t="s">
        <v>4</v>
      </c>
      <c r="K87" s="13">
        <v>0.33611111111111114</v>
      </c>
      <c r="L87" s="13">
        <v>0.7319444444444444</v>
      </c>
      <c r="M87" s="13" t="s">
        <v>44</v>
      </c>
      <c r="N87" s="7">
        <f>IF(OR(Table2[[#This Row],[Jam Masuk]]="-",Table2[[#This Row],[Jam Pulang]]="-"),0,Table2[[#This Row],[Jam Pulang]]-Table2[[#This Row],[Jam Masuk]])</f>
        <v>0.39583333333333326</v>
      </c>
    </row>
    <row r="88" spans="8:14" x14ac:dyDescent="0.25">
      <c r="H88" s="16" t="s">
        <v>66</v>
      </c>
      <c r="I88" s="13" t="s">
        <v>26</v>
      </c>
      <c r="J88" s="18" t="s">
        <v>6</v>
      </c>
      <c r="K88" s="13">
        <v>0.3527777777777778</v>
      </c>
      <c r="L88" s="13">
        <v>0.74861111111111112</v>
      </c>
      <c r="M88" s="13" t="s">
        <v>44</v>
      </c>
      <c r="N88" s="7">
        <f>IF(OR(Table2[[#This Row],[Jam Masuk]]="-",Table2[[#This Row],[Jam Pulang]]="-"),0,Table2[[#This Row],[Jam Pulang]]-Table2[[#This Row],[Jam Masuk]])</f>
        <v>0.39583333333333331</v>
      </c>
    </row>
    <row r="89" spans="8:14" x14ac:dyDescent="0.25">
      <c r="H89" s="16" t="s">
        <v>66</v>
      </c>
      <c r="I89" s="13" t="s">
        <v>27</v>
      </c>
      <c r="J89" s="18" t="s">
        <v>28</v>
      </c>
      <c r="K89" s="13" t="s">
        <v>8</v>
      </c>
      <c r="L89" s="13" t="s">
        <v>8</v>
      </c>
      <c r="M89" s="13" t="s">
        <v>10</v>
      </c>
      <c r="N89" s="7">
        <f>IF(OR(Table2[[#This Row],[Jam Masuk]]="-",Table2[[#This Row],[Jam Pulang]]="-"),0,Table2[[#This Row],[Jam Pulang]]-Table2[[#This Row],[Jam Masuk]])</f>
        <v>0</v>
      </c>
    </row>
    <row r="90" spans="8:14" x14ac:dyDescent="0.25">
      <c r="H90" s="16" t="s">
        <v>66</v>
      </c>
      <c r="I90" s="13" t="s">
        <v>29</v>
      </c>
      <c r="J90" s="18" t="s">
        <v>9</v>
      </c>
      <c r="K90" s="13" t="s">
        <v>8</v>
      </c>
      <c r="L90" s="13" t="s">
        <v>8</v>
      </c>
      <c r="M90" s="13" t="s">
        <v>7</v>
      </c>
      <c r="N90" s="7">
        <f>IF(OR(Table2[[#This Row],[Jam Masuk]]="-",Table2[[#This Row],[Jam Pulang]]="-"),0,Table2[[#This Row],[Jam Pulang]]-Table2[[#This Row],[Jam Masuk]])</f>
        <v>0</v>
      </c>
    </row>
    <row r="91" spans="8:14" x14ac:dyDescent="0.25">
      <c r="H91" s="16" t="s">
        <v>66</v>
      </c>
      <c r="I91" s="13" t="s">
        <v>30</v>
      </c>
      <c r="J91" s="18" t="s">
        <v>31</v>
      </c>
      <c r="K91" s="13">
        <v>0.34305555555555556</v>
      </c>
      <c r="L91" s="13">
        <v>0.72847222222222219</v>
      </c>
      <c r="M91" s="13" t="s">
        <v>44</v>
      </c>
      <c r="N91" s="7">
        <f>IF(OR(Table2[[#This Row],[Jam Masuk]]="-",Table2[[#This Row],[Jam Pulang]]="-"),0,Table2[[#This Row],[Jam Pulang]]-Table2[[#This Row],[Jam Masuk]])</f>
        <v>0.38541666666666663</v>
      </c>
    </row>
    <row r="92" spans="8:14" x14ac:dyDescent="0.25">
      <c r="H92" s="16" t="s">
        <v>66</v>
      </c>
      <c r="I92" s="13" t="s">
        <v>32</v>
      </c>
      <c r="J92" s="18" t="s">
        <v>33</v>
      </c>
      <c r="K92" s="13">
        <v>0.33333333333333331</v>
      </c>
      <c r="L92" s="13">
        <v>0.71805555555555556</v>
      </c>
      <c r="M92" s="13" t="s">
        <v>44</v>
      </c>
      <c r="N92" s="7">
        <f>IF(OR(Table2[[#This Row],[Jam Masuk]]="-",Table2[[#This Row],[Jam Pulang]]="-"),0,Table2[[#This Row],[Jam Pulang]]-Table2[[#This Row],[Jam Masuk]])</f>
        <v>0.38472222222222224</v>
      </c>
    </row>
    <row r="93" spans="8:14" x14ac:dyDescent="0.25">
      <c r="H93" s="16" t="s">
        <v>66</v>
      </c>
      <c r="I93" s="13" t="s">
        <v>34</v>
      </c>
      <c r="J93" s="18" t="s">
        <v>35</v>
      </c>
      <c r="K93" s="13">
        <v>0.34305555555555556</v>
      </c>
      <c r="L93" s="13">
        <v>0.74097222222222225</v>
      </c>
      <c r="M93" s="13" t="s">
        <v>5</v>
      </c>
      <c r="N93" s="7">
        <f>IF(OR(Table2[[#This Row],[Jam Masuk]]="-",Table2[[#This Row],[Jam Pulang]]="-"),0,Table2[[#This Row],[Jam Pulang]]-Table2[[#This Row],[Jam Masuk]])</f>
        <v>0.3979166666666667</v>
      </c>
    </row>
    <row r="94" spans="8:14" x14ac:dyDescent="0.25">
      <c r="H94" s="16" t="s">
        <v>66</v>
      </c>
      <c r="I94" s="13" t="s">
        <v>36</v>
      </c>
      <c r="J94" s="18" t="s">
        <v>37</v>
      </c>
      <c r="K94" s="13" t="s">
        <v>8</v>
      </c>
      <c r="L94" s="13" t="s">
        <v>8</v>
      </c>
      <c r="M94" s="13" t="s">
        <v>42</v>
      </c>
      <c r="N94" s="7">
        <f>IF(OR(Table2[[#This Row],[Jam Masuk]]="-",Table2[[#This Row],[Jam Pulang]]="-"),0,Table2[[#This Row],[Jam Pulang]]-Table2[[#This Row],[Jam Masuk]])</f>
        <v>0</v>
      </c>
    </row>
    <row r="95" spans="8:14" x14ac:dyDescent="0.25">
      <c r="H95" s="16" t="s">
        <v>66</v>
      </c>
      <c r="I95" s="13" t="s">
        <v>38</v>
      </c>
      <c r="J95" s="18" t="s">
        <v>39</v>
      </c>
      <c r="K95" s="13" t="s">
        <v>8</v>
      </c>
      <c r="L95" s="13" t="s">
        <v>8</v>
      </c>
      <c r="M95" s="13" t="s">
        <v>42</v>
      </c>
      <c r="N95" s="7">
        <f>IF(OR(Table2[[#This Row],[Jam Masuk]]="-",Table2[[#This Row],[Jam Pulang]]="-"),0,Table2[[#This Row],[Jam Pulang]]-Table2[[#This Row],[Jam Masuk]])</f>
        <v>0</v>
      </c>
    </row>
    <row r="96" spans="8:14" x14ac:dyDescent="0.25">
      <c r="H96" s="16" t="s">
        <v>66</v>
      </c>
      <c r="I96" s="13" t="s">
        <v>40</v>
      </c>
      <c r="J96" s="18" t="s">
        <v>41</v>
      </c>
      <c r="K96" s="13" t="s">
        <v>8</v>
      </c>
      <c r="L96" s="13" t="s">
        <v>8</v>
      </c>
      <c r="M96" s="13" t="s">
        <v>7</v>
      </c>
      <c r="N96" s="7">
        <f>IF(OR(Table2[[#This Row],[Jam Masuk]]="-",Table2[[#This Row],[Jam Pulang]]="-"),0,Table2[[#This Row],[Jam Pulang]]-Table2[[#This Row],[Jam Masuk]])</f>
        <v>0</v>
      </c>
    </row>
    <row r="97" spans="8:14" x14ac:dyDescent="0.25">
      <c r="H97" s="16" t="s">
        <v>65</v>
      </c>
      <c r="I97" s="13" t="s">
        <v>25</v>
      </c>
      <c r="J97" s="18" t="s">
        <v>4</v>
      </c>
      <c r="K97" s="13" t="s">
        <v>8</v>
      </c>
      <c r="L97" s="13" t="s">
        <v>8</v>
      </c>
      <c r="M97" s="13" t="s">
        <v>42</v>
      </c>
      <c r="N97" s="7">
        <f>IF(OR(Table2[[#This Row],[Jam Masuk]]="-",Table2[[#This Row],[Jam Pulang]]="-"),0,Table2[[#This Row],[Jam Pulang]]-Table2[[#This Row],[Jam Masuk]])</f>
        <v>0</v>
      </c>
    </row>
    <row r="98" spans="8:14" x14ac:dyDescent="0.25">
      <c r="H98" s="16" t="s">
        <v>65</v>
      </c>
      <c r="I98" s="13" t="s">
        <v>26</v>
      </c>
      <c r="J98" s="18" t="s">
        <v>6</v>
      </c>
      <c r="K98" s="13">
        <v>0.37291666666666667</v>
      </c>
      <c r="L98" s="13">
        <v>0.72638888888888886</v>
      </c>
      <c r="M98" s="13" t="s">
        <v>44</v>
      </c>
      <c r="N98" s="7">
        <f>IF(OR(Table2[[#This Row],[Jam Masuk]]="-",Table2[[#This Row],[Jam Pulang]]="-"),0,Table2[[#This Row],[Jam Pulang]]-Table2[[#This Row],[Jam Masuk]])</f>
        <v>0.35347222222222219</v>
      </c>
    </row>
    <row r="99" spans="8:14" x14ac:dyDescent="0.25">
      <c r="H99" s="16" t="s">
        <v>65</v>
      </c>
      <c r="I99" s="13" t="s">
        <v>27</v>
      </c>
      <c r="J99" s="18" t="s">
        <v>28</v>
      </c>
      <c r="K99" s="13" t="s">
        <v>8</v>
      </c>
      <c r="L99" s="13" t="s">
        <v>8</v>
      </c>
      <c r="M99" s="13" t="s">
        <v>7</v>
      </c>
      <c r="N99" s="7">
        <f>IF(OR(Table2[[#This Row],[Jam Masuk]]="-",Table2[[#This Row],[Jam Pulang]]="-"),0,Table2[[#This Row],[Jam Pulang]]-Table2[[#This Row],[Jam Masuk]])</f>
        <v>0</v>
      </c>
    </row>
    <row r="100" spans="8:14" x14ac:dyDescent="0.25">
      <c r="H100" s="16" t="s">
        <v>65</v>
      </c>
      <c r="I100" s="13" t="s">
        <v>29</v>
      </c>
      <c r="J100" s="18" t="s">
        <v>9</v>
      </c>
      <c r="K100" s="13" t="s">
        <v>8</v>
      </c>
      <c r="L100" s="13" t="s">
        <v>8</v>
      </c>
      <c r="M100" s="13" t="s">
        <v>7</v>
      </c>
      <c r="N100" s="7">
        <f>IF(OR(Table2[[#This Row],[Jam Masuk]]="-",Table2[[#This Row],[Jam Pulang]]="-"),0,Table2[[#This Row],[Jam Pulang]]-Table2[[#This Row],[Jam Masuk]])</f>
        <v>0</v>
      </c>
    </row>
    <row r="101" spans="8:14" x14ac:dyDescent="0.25">
      <c r="H101" s="16" t="s">
        <v>65</v>
      </c>
      <c r="I101" s="13" t="s">
        <v>30</v>
      </c>
      <c r="J101" s="18" t="s">
        <v>31</v>
      </c>
      <c r="K101" s="13" t="s">
        <v>8</v>
      </c>
      <c r="L101" s="13" t="s">
        <v>8</v>
      </c>
      <c r="M101" s="13" t="s">
        <v>42</v>
      </c>
      <c r="N101" s="7">
        <f>IF(OR(Table2[[#This Row],[Jam Masuk]]="-",Table2[[#This Row],[Jam Pulang]]="-"),0,Table2[[#This Row],[Jam Pulang]]-Table2[[#This Row],[Jam Masuk]])</f>
        <v>0</v>
      </c>
    </row>
    <row r="102" spans="8:14" x14ac:dyDescent="0.25">
      <c r="H102" s="16" t="s">
        <v>65</v>
      </c>
      <c r="I102" s="13" t="s">
        <v>32</v>
      </c>
      <c r="J102" s="18" t="s">
        <v>33</v>
      </c>
      <c r="K102" s="13" t="s">
        <v>8</v>
      </c>
      <c r="L102" s="13" t="s">
        <v>8</v>
      </c>
      <c r="M102" s="13" t="s">
        <v>10</v>
      </c>
      <c r="N102" s="7">
        <f>IF(OR(Table2[[#This Row],[Jam Masuk]]="-",Table2[[#This Row],[Jam Pulang]]="-"),0,Table2[[#This Row],[Jam Pulang]]-Table2[[#This Row],[Jam Masuk]])</f>
        <v>0</v>
      </c>
    </row>
    <row r="103" spans="8:14" x14ac:dyDescent="0.25">
      <c r="H103" s="16" t="s">
        <v>65</v>
      </c>
      <c r="I103" s="13" t="s">
        <v>34</v>
      </c>
      <c r="J103" s="18" t="s">
        <v>35</v>
      </c>
      <c r="K103" s="13" t="s">
        <v>8</v>
      </c>
      <c r="L103" s="13" t="s">
        <v>8</v>
      </c>
      <c r="M103" s="13" t="s">
        <v>42</v>
      </c>
      <c r="N103" s="7">
        <f>IF(OR(Table2[[#This Row],[Jam Masuk]]="-",Table2[[#This Row],[Jam Pulang]]="-"),0,Table2[[#This Row],[Jam Pulang]]-Table2[[#This Row],[Jam Masuk]])</f>
        <v>0</v>
      </c>
    </row>
    <row r="104" spans="8:14" x14ac:dyDescent="0.25">
      <c r="H104" s="16" t="s">
        <v>65</v>
      </c>
      <c r="I104" s="13" t="s">
        <v>36</v>
      </c>
      <c r="J104" s="18" t="s">
        <v>37</v>
      </c>
      <c r="K104" s="13" t="s">
        <v>8</v>
      </c>
      <c r="L104" s="13" t="s">
        <v>8</v>
      </c>
      <c r="M104" s="13" t="s">
        <v>10</v>
      </c>
      <c r="N104" s="7">
        <f>IF(OR(Table2[[#This Row],[Jam Masuk]]="-",Table2[[#This Row],[Jam Pulang]]="-"),0,Table2[[#This Row],[Jam Pulang]]-Table2[[#This Row],[Jam Masuk]])</f>
        <v>0</v>
      </c>
    </row>
    <row r="105" spans="8:14" x14ac:dyDescent="0.25">
      <c r="H105" s="16" t="s">
        <v>65</v>
      </c>
      <c r="I105" s="13" t="s">
        <v>38</v>
      </c>
      <c r="J105" s="18" t="s">
        <v>39</v>
      </c>
      <c r="K105" s="13">
        <v>0.34375</v>
      </c>
      <c r="L105" s="13">
        <v>0.74027777777777781</v>
      </c>
      <c r="M105" s="13" t="s">
        <v>44</v>
      </c>
      <c r="N105" s="7">
        <f>IF(OR(Table2[[#This Row],[Jam Masuk]]="-",Table2[[#This Row],[Jam Pulang]]="-"),0,Table2[[#This Row],[Jam Pulang]]-Table2[[#This Row],[Jam Masuk]])</f>
        <v>0.39652777777777781</v>
      </c>
    </row>
    <row r="106" spans="8:14" x14ac:dyDescent="0.25">
      <c r="H106" s="16" t="s">
        <v>65</v>
      </c>
      <c r="I106" s="13" t="s">
        <v>40</v>
      </c>
      <c r="J106" s="18" t="s">
        <v>41</v>
      </c>
      <c r="K106" s="13">
        <v>0.33888888888888891</v>
      </c>
      <c r="L106" s="13">
        <v>0.71666666666666667</v>
      </c>
      <c r="M106" s="13" t="s">
        <v>5</v>
      </c>
      <c r="N106" s="7">
        <f>IF(OR(Table2[[#This Row],[Jam Masuk]]="-",Table2[[#This Row],[Jam Pulang]]="-"),0,Table2[[#This Row],[Jam Pulang]]-Table2[[#This Row],[Jam Masuk]])</f>
        <v>0.37777777777777777</v>
      </c>
    </row>
    <row r="107" spans="8:14" x14ac:dyDescent="0.25">
      <c r="H107" s="16" t="s">
        <v>64</v>
      </c>
      <c r="I107" s="13" t="s">
        <v>25</v>
      </c>
      <c r="J107" s="18" t="s">
        <v>4</v>
      </c>
      <c r="K107" s="13" t="s">
        <v>8</v>
      </c>
      <c r="L107" s="13" t="s">
        <v>8</v>
      </c>
      <c r="M107" s="13" t="s">
        <v>7</v>
      </c>
      <c r="N107" s="7">
        <f>IF(OR(Table2[[#This Row],[Jam Masuk]]="-",Table2[[#This Row],[Jam Pulang]]="-"),0,Table2[[#This Row],[Jam Pulang]]-Table2[[#This Row],[Jam Masuk]])</f>
        <v>0</v>
      </c>
    </row>
    <row r="108" spans="8:14" x14ac:dyDescent="0.25">
      <c r="H108" s="16" t="s">
        <v>64</v>
      </c>
      <c r="I108" s="13" t="s">
        <v>26</v>
      </c>
      <c r="J108" s="18" t="s">
        <v>6</v>
      </c>
      <c r="K108" s="13" t="s">
        <v>8</v>
      </c>
      <c r="L108" s="13" t="s">
        <v>8</v>
      </c>
      <c r="M108" s="13" t="s">
        <v>10</v>
      </c>
      <c r="N108" s="7">
        <f>IF(OR(Table2[[#This Row],[Jam Masuk]]="-",Table2[[#This Row],[Jam Pulang]]="-"),0,Table2[[#This Row],[Jam Pulang]]-Table2[[#This Row],[Jam Masuk]])</f>
        <v>0</v>
      </c>
    </row>
    <row r="109" spans="8:14" x14ac:dyDescent="0.25">
      <c r="H109" s="16" t="s">
        <v>64</v>
      </c>
      <c r="I109" s="13" t="s">
        <v>27</v>
      </c>
      <c r="J109" s="18" t="s">
        <v>28</v>
      </c>
      <c r="K109" s="13" t="s">
        <v>8</v>
      </c>
      <c r="L109" s="13" t="s">
        <v>8</v>
      </c>
      <c r="M109" s="13" t="s">
        <v>7</v>
      </c>
      <c r="N109" s="7">
        <f>IF(OR(Table2[[#This Row],[Jam Masuk]]="-",Table2[[#This Row],[Jam Pulang]]="-"),0,Table2[[#This Row],[Jam Pulang]]-Table2[[#This Row],[Jam Masuk]])</f>
        <v>0</v>
      </c>
    </row>
    <row r="110" spans="8:14" x14ac:dyDescent="0.25">
      <c r="H110" s="16" t="s">
        <v>64</v>
      </c>
      <c r="I110" s="13" t="s">
        <v>29</v>
      </c>
      <c r="J110" s="18" t="s">
        <v>9</v>
      </c>
      <c r="K110" s="13" t="s">
        <v>8</v>
      </c>
      <c r="L110" s="13" t="s">
        <v>8</v>
      </c>
      <c r="M110" s="13" t="s">
        <v>7</v>
      </c>
      <c r="N110" s="7">
        <f>IF(OR(Table2[[#This Row],[Jam Masuk]]="-",Table2[[#This Row],[Jam Pulang]]="-"),0,Table2[[#This Row],[Jam Pulang]]-Table2[[#This Row],[Jam Masuk]])</f>
        <v>0</v>
      </c>
    </row>
    <row r="111" spans="8:14" x14ac:dyDescent="0.25">
      <c r="H111" s="16" t="s">
        <v>64</v>
      </c>
      <c r="I111" s="13" t="s">
        <v>30</v>
      </c>
      <c r="J111" s="18" t="s">
        <v>31</v>
      </c>
      <c r="K111" s="13" t="s">
        <v>8</v>
      </c>
      <c r="L111" s="13" t="s">
        <v>8</v>
      </c>
      <c r="M111" s="13" t="s">
        <v>42</v>
      </c>
      <c r="N111" s="7">
        <f>IF(OR(Table2[[#This Row],[Jam Masuk]]="-",Table2[[#This Row],[Jam Pulang]]="-"),0,Table2[[#This Row],[Jam Pulang]]-Table2[[#This Row],[Jam Masuk]])</f>
        <v>0</v>
      </c>
    </row>
    <row r="112" spans="8:14" x14ac:dyDescent="0.25">
      <c r="H112" s="16" t="s">
        <v>64</v>
      </c>
      <c r="I112" s="13" t="s">
        <v>32</v>
      </c>
      <c r="J112" s="18" t="s">
        <v>33</v>
      </c>
      <c r="K112" s="13" t="s">
        <v>8</v>
      </c>
      <c r="L112" s="13" t="s">
        <v>8</v>
      </c>
      <c r="M112" s="13" t="s">
        <v>10</v>
      </c>
      <c r="N112" s="7">
        <f>IF(OR(Table2[[#This Row],[Jam Masuk]]="-",Table2[[#This Row],[Jam Pulang]]="-"),0,Table2[[#This Row],[Jam Pulang]]-Table2[[#This Row],[Jam Masuk]])</f>
        <v>0</v>
      </c>
    </row>
    <row r="113" spans="8:14" x14ac:dyDescent="0.25">
      <c r="H113" s="16" t="s">
        <v>64</v>
      </c>
      <c r="I113" s="13" t="s">
        <v>34</v>
      </c>
      <c r="J113" s="18" t="s">
        <v>35</v>
      </c>
      <c r="K113" s="13" t="s">
        <v>8</v>
      </c>
      <c r="L113" s="13" t="s">
        <v>8</v>
      </c>
      <c r="M113" s="13" t="s">
        <v>7</v>
      </c>
      <c r="N113" s="7">
        <f>IF(OR(Table2[[#This Row],[Jam Masuk]]="-",Table2[[#This Row],[Jam Pulang]]="-"),0,Table2[[#This Row],[Jam Pulang]]-Table2[[#This Row],[Jam Masuk]])</f>
        <v>0</v>
      </c>
    </row>
    <row r="114" spans="8:14" x14ac:dyDescent="0.25">
      <c r="H114" s="16" t="s">
        <v>64</v>
      </c>
      <c r="I114" s="13" t="s">
        <v>36</v>
      </c>
      <c r="J114" s="18" t="s">
        <v>37</v>
      </c>
      <c r="K114" s="13" t="s">
        <v>8</v>
      </c>
      <c r="L114" s="13" t="s">
        <v>8</v>
      </c>
      <c r="M114" s="13" t="s">
        <v>42</v>
      </c>
      <c r="N114" s="7">
        <f>IF(OR(Table2[[#This Row],[Jam Masuk]]="-",Table2[[#This Row],[Jam Pulang]]="-"),0,Table2[[#This Row],[Jam Pulang]]-Table2[[#This Row],[Jam Masuk]])</f>
        <v>0</v>
      </c>
    </row>
    <row r="115" spans="8:14" x14ac:dyDescent="0.25">
      <c r="H115" s="16" t="s">
        <v>64</v>
      </c>
      <c r="I115" s="13" t="s">
        <v>38</v>
      </c>
      <c r="J115" s="18" t="s">
        <v>39</v>
      </c>
      <c r="K115" s="13" t="s">
        <v>8</v>
      </c>
      <c r="L115" s="13" t="s">
        <v>8</v>
      </c>
      <c r="M115" s="13" t="s">
        <v>7</v>
      </c>
      <c r="N115" s="7">
        <f>IF(OR(Table2[[#This Row],[Jam Masuk]]="-",Table2[[#This Row],[Jam Pulang]]="-"),0,Table2[[#This Row],[Jam Pulang]]-Table2[[#This Row],[Jam Masuk]])</f>
        <v>0</v>
      </c>
    </row>
    <row r="116" spans="8:14" x14ac:dyDescent="0.25">
      <c r="H116" s="16" t="s">
        <v>64</v>
      </c>
      <c r="I116" s="13" t="s">
        <v>40</v>
      </c>
      <c r="J116" s="18" t="s">
        <v>41</v>
      </c>
      <c r="K116" s="13">
        <v>0.35694444444444445</v>
      </c>
      <c r="L116" s="13">
        <v>0.73263888888888884</v>
      </c>
      <c r="M116" s="13" t="s">
        <v>5</v>
      </c>
      <c r="N116" s="7">
        <f>IF(OR(Table2[[#This Row],[Jam Masuk]]="-",Table2[[#This Row],[Jam Pulang]]="-"),0,Table2[[#This Row],[Jam Pulang]]-Table2[[#This Row],[Jam Masuk]])</f>
        <v>0.37569444444444439</v>
      </c>
    </row>
    <row r="117" spans="8:14" x14ac:dyDescent="0.25">
      <c r="H117" s="16" t="s">
        <v>63</v>
      </c>
      <c r="I117" s="13" t="s">
        <v>25</v>
      </c>
      <c r="J117" s="18" t="s">
        <v>4</v>
      </c>
      <c r="K117" s="13" t="s">
        <v>8</v>
      </c>
      <c r="L117" s="13" t="s">
        <v>8</v>
      </c>
      <c r="M117" s="13" t="s">
        <v>7</v>
      </c>
      <c r="N117" s="7">
        <f>IF(OR(Table2[[#This Row],[Jam Masuk]]="-",Table2[[#This Row],[Jam Pulang]]="-"),0,Table2[[#This Row],[Jam Pulang]]-Table2[[#This Row],[Jam Masuk]])</f>
        <v>0</v>
      </c>
    </row>
    <row r="118" spans="8:14" x14ac:dyDescent="0.25">
      <c r="H118" s="16" t="s">
        <v>63</v>
      </c>
      <c r="I118" s="13" t="s">
        <v>26</v>
      </c>
      <c r="J118" s="18" t="s">
        <v>6</v>
      </c>
      <c r="K118" s="13">
        <v>0.34097222222222223</v>
      </c>
      <c r="L118" s="13">
        <v>0.73055555555555551</v>
      </c>
      <c r="M118" s="13" t="s">
        <v>44</v>
      </c>
      <c r="N118" s="7">
        <f>IF(OR(Table2[[#This Row],[Jam Masuk]]="-",Table2[[#This Row],[Jam Pulang]]="-"),0,Table2[[#This Row],[Jam Pulang]]-Table2[[#This Row],[Jam Masuk]])</f>
        <v>0.38958333333333328</v>
      </c>
    </row>
    <row r="119" spans="8:14" x14ac:dyDescent="0.25">
      <c r="H119" s="16" t="s">
        <v>63</v>
      </c>
      <c r="I119" s="13" t="s">
        <v>27</v>
      </c>
      <c r="J119" s="18" t="s">
        <v>28</v>
      </c>
      <c r="K119" s="13" t="s">
        <v>8</v>
      </c>
      <c r="L119" s="13" t="s">
        <v>8</v>
      </c>
      <c r="M119" s="13" t="s">
        <v>7</v>
      </c>
      <c r="N119" s="7">
        <f>IF(OR(Table2[[#This Row],[Jam Masuk]]="-",Table2[[#This Row],[Jam Pulang]]="-"),0,Table2[[#This Row],[Jam Pulang]]-Table2[[#This Row],[Jam Masuk]])</f>
        <v>0</v>
      </c>
    </row>
    <row r="120" spans="8:14" x14ac:dyDescent="0.25">
      <c r="H120" s="16" t="s">
        <v>63</v>
      </c>
      <c r="I120" s="13" t="s">
        <v>29</v>
      </c>
      <c r="J120" s="18" t="s">
        <v>9</v>
      </c>
      <c r="K120" s="13">
        <v>0.35833333333333334</v>
      </c>
      <c r="L120" s="13">
        <v>0.72152777777777777</v>
      </c>
      <c r="M120" s="13" t="s">
        <v>44</v>
      </c>
      <c r="N120" s="7">
        <f>IF(OR(Table2[[#This Row],[Jam Masuk]]="-",Table2[[#This Row],[Jam Pulang]]="-"),0,Table2[[#This Row],[Jam Pulang]]-Table2[[#This Row],[Jam Masuk]])</f>
        <v>0.36319444444444443</v>
      </c>
    </row>
    <row r="121" spans="8:14" x14ac:dyDescent="0.25">
      <c r="H121" s="16" t="s">
        <v>63</v>
      </c>
      <c r="I121" s="13" t="s">
        <v>30</v>
      </c>
      <c r="J121" s="18" t="s">
        <v>31</v>
      </c>
      <c r="K121" s="13">
        <v>0.36527777777777776</v>
      </c>
      <c r="L121" s="13">
        <v>0.74097222222222225</v>
      </c>
      <c r="M121" s="13" t="s">
        <v>5</v>
      </c>
      <c r="N121" s="7">
        <f>IF(OR(Table2[[#This Row],[Jam Masuk]]="-",Table2[[#This Row],[Jam Pulang]]="-"),0,Table2[[#This Row],[Jam Pulang]]-Table2[[#This Row],[Jam Masuk]])</f>
        <v>0.3756944444444445</v>
      </c>
    </row>
    <row r="122" spans="8:14" x14ac:dyDescent="0.25">
      <c r="H122" s="16" t="s">
        <v>63</v>
      </c>
      <c r="I122" s="13" t="s">
        <v>32</v>
      </c>
      <c r="J122" s="18" t="s">
        <v>33</v>
      </c>
      <c r="K122" s="13">
        <v>0.3611111111111111</v>
      </c>
      <c r="L122" s="13">
        <v>0.72222222222222221</v>
      </c>
      <c r="M122" s="13" t="s">
        <v>44</v>
      </c>
      <c r="N122" s="7">
        <f>IF(OR(Table2[[#This Row],[Jam Masuk]]="-",Table2[[#This Row],[Jam Pulang]]="-"),0,Table2[[#This Row],[Jam Pulang]]-Table2[[#This Row],[Jam Masuk]])</f>
        <v>0.3611111111111111</v>
      </c>
    </row>
    <row r="123" spans="8:14" x14ac:dyDescent="0.25">
      <c r="H123" s="16" t="s">
        <v>63</v>
      </c>
      <c r="I123" s="13" t="s">
        <v>34</v>
      </c>
      <c r="J123" s="18" t="s">
        <v>35</v>
      </c>
      <c r="K123" s="13" t="s">
        <v>8</v>
      </c>
      <c r="L123" s="13" t="s">
        <v>8</v>
      </c>
      <c r="M123" s="13" t="s">
        <v>7</v>
      </c>
      <c r="N123" s="7">
        <f>IF(OR(Table2[[#This Row],[Jam Masuk]]="-",Table2[[#This Row],[Jam Pulang]]="-"),0,Table2[[#This Row],[Jam Pulang]]-Table2[[#This Row],[Jam Masuk]])</f>
        <v>0</v>
      </c>
    </row>
    <row r="124" spans="8:14" x14ac:dyDescent="0.25">
      <c r="H124" s="16" t="s">
        <v>63</v>
      </c>
      <c r="I124" s="13" t="s">
        <v>36</v>
      </c>
      <c r="J124" s="18" t="s">
        <v>37</v>
      </c>
      <c r="K124" s="13" t="s">
        <v>8</v>
      </c>
      <c r="L124" s="13" t="s">
        <v>8</v>
      </c>
      <c r="M124" s="13" t="s">
        <v>42</v>
      </c>
      <c r="N124" s="7">
        <f>IF(OR(Table2[[#This Row],[Jam Masuk]]="-",Table2[[#This Row],[Jam Pulang]]="-"),0,Table2[[#This Row],[Jam Pulang]]-Table2[[#This Row],[Jam Masuk]])</f>
        <v>0</v>
      </c>
    </row>
    <row r="125" spans="8:14" x14ac:dyDescent="0.25">
      <c r="H125" s="16" t="s">
        <v>63</v>
      </c>
      <c r="I125" s="13" t="s">
        <v>38</v>
      </c>
      <c r="J125" s="18" t="s">
        <v>39</v>
      </c>
      <c r="K125" s="13">
        <v>0.33680555555555558</v>
      </c>
      <c r="L125" s="13">
        <v>0.72638888888888886</v>
      </c>
      <c r="M125" s="13" t="s">
        <v>5</v>
      </c>
      <c r="N125" s="7">
        <f>IF(OR(Table2[[#This Row],[Jam Masuk]]="-",Table2[[#This Row],[Jam Pulang]]="-"),0,Table2[[#This Row],[Jam Pulang]]-Table2[[#This Row],[Jam Masuk]])</f>
        <v>0.38958333333333328</v>
      </c>
    </row>
    <row r="126" spans="8:14" x14ac:dyDescent="0.25">
      <c r="H126" s="16" t="s">
        <v>63</v>
      </c>
      <c r="I126" s="13" t="s">
        <v>40</v>
      </c>
      <c r="J126" s="18" t="s">
        <v>41</v>
      </c>
      <c r="K126" s="13" t="s">
        <v>8</v>
      </c>
      <c r="L126" s="13" t="s">
        <v>8</v>
      </c>
      <c r="M126" s="13" t="s">
        <v>42</v>
      </c>
      <c r="N126" s="7">
        <f>IF(OR(Table2[[#This Row],[Jam Masuk]]="-",Table2[[#This Row],[Jam Pulang]]="-"),0,Table2[[#This Row],[Jam Pulang]]-Table2[[#This Row],[Jam Masuk]])</f>
        <v>0</v>
      </c>
    </row>
    <row r="127" spans="8:14" x14ac:dyDescent="0.25">
      <c r="H127" s="16" t="s">
        <v>62</v>
      </c>
      <c r="I127" s="13" t="s">
        <v>25</v>
      </c>
      <c r="J127" s="18" t="s">
        <v>4</v>
      </c>
      <c r="K127" s="13" t="s">
        <v>8</v>
      </c>
      <c r="L127" s="13" t="s">
        <v>8</v>
      </c>
      <c r="M127" s="13" t="s">
        <v>10</v>
      </c>
      <c r="N127" s="7">
        <f>IF(OR(Table2[[#This Row],[Jam Masuk]]="-",Table2[[#This Row],[Jam Pulang]]="-"),0,Table2[[#This Row],[Jam Pulang]]-Table2[[#This Row],[Jam Masuk]])</f>
        <v>0</v>
      </c>
    </row>
    <row r="128" spans="8:14" x14ac:dyDescent="0.25">
      <c r="H128" s="16" t="s">
        <v>62</v>
      </c>
      <c r="I128" s="13" t="s">
        <v>26</v>
      </c>
      <c r="J128" s="18" t="s">
        <v>6</v>
      </c>
      <c r="K128" s="13">
        <v>0.35</v>
      </c>
      <c r="L128" s="13">
        <v>0.70902777777777781</v>
      </c>
      <c r="M128" s="13" t="s">
        <v>44</v>
      </c>
      <c r="N128" s="7">
        <f>IF(OR(Table2[[#This Row],[Jam Masuk]]="-",Table2[[#This Row],[Jam Pulang]]="-"),0,Table2[[#This Row],[Jam Pulang]]-Table2[[#This Row],[Jam Masuk]])</f>
        <v>0.35902777777777783</v>
      </c>
    </row>
    <row r="129" spans="8:14" x14ac:dyDescent="0.25">
      <c r="H129" s="16" t="s">
        <v>62</v>
      </c>
      <c r="I129" s="13" t="s">
        <v>27</v>
      </c>
      <c r="J129" s="18" t="s">
        <v>28</v>
      </c>
      <c r="K129" s="13">
        <v>0.33888888888888891</v>
      </c>
      <c r="L129" s="13">
        <v>0.74930555555555556</v>
      </c>
      <c r="M129" s="13" t="s">
        <v>5</v>
      </c>
      <c r="N129" s="7">
        <f>IF(OR(Table2[[#This Row],[Jam Masuk]]="-",Table2[[#This Row],[Jam Pulang]]="-"),0,Table2[[#This Row],[Jam Pulang]]-Table2[[#This Row],[Jam Masuk]])</f>
        <v>0.41041666666666665</v>
      </c>
    </row>
    <row r="130" spans="8:14" x14ac:dyDescent="0.25">
      <c r="H130" s="16" t="s">
        <v>62</v>
      </c>
      <c r="I130" s="13" t="s">
        <v>29</v>
      </c>
      <c r="J130" s="18" t="s">
        <v>9</v>
      </c>
      <c r="K130" s="13" t="s">
        <v>8</v>
      </c>
      <c r="L130" s="13" t="s">
        <v>8</v>
      </c>
      <c r="M130" s="13" t="s">
        <v>7</v>
      </c>
      <c r="N130" s="7">
        <f>IF(OR(Table2[[#This Row],[Jam Masuk]]="-",Table2[[#This Row],[Jam Pulang]]="-"),0,Table2[[#This Row],[Jam Pulang]]-Table2[[#This Row],[Jam Masuk]])</f>
        <v>0</v>
      </c>
    </row>
    <row r="131" spans="8:14" x14ac:dyDescent="0.25">
      <c r="H131" s="16" t="s">
        <v>62</v>
      </c>
      <c r="I131" s="13" t="s">
        <v>30</v>
      </c>
      <c r="J131" s="18" t="s">
        <v>31</v>
      </c>
      <c r="K131" s="13" t="s">
        <v>8</v>
      </c>
      <c r="L131" s="13" t="s">
        <v>8</v>
      </c>
      <c r="M131" s="13" t="s">
        <v>42</v>
      </c>
      <c r="N131" s="7">
        <f>IF(OR(Table2[[#This Row],[Jam Masuk]]="-",Table2[[#This Row],[Jam Pulang]]="-"),0,Table2[[#This Row],[Jam Pulang]]-Table2[[#This Row],[Jam Masuk]])</f>
        <v>0</v>
      </c>
    </row>
    <row r="132" spans="8:14" x14ac:dyDescent="0.25">
      <c r="H132" s="16" t="s">
        <v>62</v>
      </c>
      <c r="I132" s="13" t="s">
        <v>32</v>
      </c>
      <c r="J132" s="18" t="s">
        <v>33</v>
      </c>
      <c r="K132" s="13">
        <v>0.36875000000000002</v>
      </c>
      <c r="L132" s="13">
        <v>0.74722222222222223</v>
      </c>
      <c r="M132" s="13" t="s">
        <v>5</v>
      </c>
      <c r="N132" s="7">
        <f>IF(OR(Table2[[#This Row],[Jam Masuk]]="-",Table2[[#This Row],[Jam Pulang]]="-"),0,Table2[[#This Row],[Jam Pulang]]-Table2[[#This Row],[Jam Masuk]])</f>
        <v>0.37847222222222221</v>
      </c>
    </row>
    <row r="133" spans="8:14" x14ac:dyDescent="0.25">
      <c r="H133" s="16" t="s">
        <v>62</v>
      </c>
      <c r="I133" s="13" t="s">
        <v>34</v>
      </c>
      <c r="J133" s="18" t="s">
        <v>35</v>
      </c>
      <c r="K133" s="13" t="s">
        <v>8</v>
      </c>
      <c r="L133" s="13" t="s">
        <v>8</v>
      </c>
      <c r="M133" s="13" t="s">
        <v>10</v>
      </c>
      <c r="N133" s="7">
        <f>IF(OR(Table2[[#This Row],[Jam Masuk]]="-",Table2[[#This Row],[Jam Pulang]]="-"),0,Table2[[#This Row],[Jam Pulang]]-Table2[[#This Row],[Jam Masuk]])</f>
        <v>0</v>
      </c>
    </row>
    <row r="134" spans="8:14" x14ac:dyDescent="0.25">
      <c r="H134" s="16" t="s">
        <v>62</v>
      </c>
      <c r="I134" s="13" t="s">
        <v>36</v>
      </c>
      <c r="J134" s="18" t="s">
        <v>37</v>
      </c>
      <c r="K134" s="13">
        <v>0.3347222222222222</v>
      </c>
      <c r="L134" s="13">
        <v>0.74583333333333335</v>
      </c>
      <c r="M134" s="13" t="s">
        <v>44</v>
      </c>
      <c r="N134" s="7">
        <f>IF(OR(Table2[[#This Row],[Jam Masuk]]="-",Table2[[#This Row],[Jam Pulang]]="-"),0,Table2[[#This Row],[Jam Pulang]]-Table2[[#This Row],[Jam Masuk]])</f>
        <v>0.41111111111111115</v>
      </c>
    </row>
    <row r="135" spans="8:14" x14ac:dyDescent="0.25">
      <c r="H135" s="16" t="s">
        <v>62</v>
      </c>
      <c r="I135" s="13" t="s">
        <v>38</v>
      </c>
      <c r="J135" s="18" t="s">
        <v>39</v>
      </c>
      <c r="K135" s="13">
        <v>0.34027777777777779</v>
      </c>
      <c r="L135" s="13">
        <v>0.72291666666666665</v>
      </c>
      <c r="M135" s="13" t="s">
        <v>44</v>
      </c>
      <c r="N135" s="7">
        <f>IF(OR(Table2[[#This Row],[Jam Masuk]]="-",Table2[[#This Row],[Jam Pulang]]="-"),0,Table2[[#This Row],[Jam Pulang]]-Table2[[#This Row],[Jam Masuk]])</f>
        <v>0.38263888888888886</v>
      </c>
    </row>
    <row r="136" spans="8:14" x14ac:dyDescent="0.25">
      <c r="H136" s="16" t="s">
        <v>62</v>
      </c>
      <c r="I136" s="13" t="s">
        <v>40</v>
      </c>
      <c r="J136" s="18" t="s">
        <v>41</v>
      </c>
      <c r="K136" s="13" t="s">
        <v>8</v>
      </c>
      <c r="L136" s="13" t="s">
        <v>8</v>
      </c>
      <c r="M136" s="13" t="s">
        <v>10</v>
      </c>
      <c r="N136" s="7">
        <f>IF(OR(Table2[[#This Row],[Jam Masuk]]="-",Table2[[#This Row],[Jam Pulang]]="-"),0,Table2[[#This Row],[Jam Pulang]]-Table2[[#This Row],[Jam Masuk]])</f>
        <v>0</v>
      </c>
    </row>
    <row r="137" spans="8:14" x14ac:dyDescent="0.25">
      <c r="H137" s="16" t="s">
        <v>61</v>
      </c>
      <c r="I137" s="13" t="s">
        <v>25</v>
      </c>
      <c r="J137" s="18" t="s">
        <v>4</v>
      </c>
      <c r="K137" s="13" t="s">
        <v>8</v>
      </c>
      <c r="L137" s="13" t="s">
        <v>8</v>
      </c>
      <c r="M137" s="13" t="s">
        <v>7</v>
      </c>
      <c r="N137" s="7">
        <f>IF(OR(Table2[[#This Row],[Jam Masuk]]="-",Table2[[#This Row],[Jam Pulang]]="-"),0,Table2[[#This Row],[Jam Pulang]]-Table2[[#This Row],[Jam Masuk]])</f>
        <v>0</v>
      </c>
    </row>
    <row r="138" spans="8:14" x14ac:dyDescent="0.25">
      <c r="H138" s="16" t="s">
        <v>61</v>
      </c>
      <c r="I138" s="13" t="s">
        <v>26</v>
      </c>
      <c r="J138" s="18" t="s">
        <v>6</v>
      </c>
      <c r="K138" s="13">
        <v>0.33402777777777776</v>
      </c>
      <c r="L138" s="13">
        <v>0.73263888888888884</v>
      </c>
      <c r="M138" s="13" t="s">
        <v>44</v>
      </c>
      <c r="N138" s="7">
        <f>IF(OR(Table2[[#This Row],[Jam Masuk]]="-",Table2[[#This Row],[Jam Pulang]]="-"),0,Table2[[#This Row],[Jam Pulang]]-Table2[[#This Row],[Jam Masuk]])</f>
        <v>0.39861111111111108</v>
      </c>
    </row>
    <row r="139" spans="8:14" x14ac:dyDescent="0.25">
      <c r="H139" s="16" t="s">
        <v>61</v>
      </c>
      <c r="I139" s="13" t="s">
        <v>27</v>
      </c>
      <c r="J139" s="18" t="s">
        <v>28</v>
      </c>
      <c r="K139" s="13">
        <v>0.34236111111111112</v>
      </c>
      <c r="L139" s="13">
        <v>0.70902777777777781</v>
      </c>
      <c r="M139" s="13" t="s">
        <v>44</v>
      </c>
      <c r="N139" s="7">
        <f>IF(OR(Table2[[#This Row],[Jam Masuk]]="-",Table2[[#This Row],[Jam Pulang]]="-"),0,Table2[[#This Row],[Jam Pulang]]-Table2[[#This Row],[Jam Masuk]])</f>
        <v>0.3666666666666667</v>
      </c>
    </row>
    <row r="140" spans="8:14" x14ac:dyDescent="0.25">
      <c r="H140" s="16" t="s">
        <v>61</v>
      </c>
      <c r="I140" s="13" t="s">
        <v>29</v>
      </c>
      <c r="J140" s="18" t="s">
        <v>9</v>
      </c>
      <c r="K140" s="13">
        <v>0.35347222222222224</v>
      </c>
      <c r="L140" s="13">
        <v>0.71319444444444446</v>
      </c>
      <c r="M140" s="13" t="s">
        <v>44</v>
      </c>
      <c r="N140" s="7">
        <f>IF(OR(Table2[[#This Row],[Jam Masuk]]="-",Table2[[#This Row],[Jam Pulang]]="-"),0,Table2[[#This Row],[Jam Pulang]]-Table2[[#This Row],[Jam Masuk]])</f>
        <v>0.35972222222222222</v>
      </c>
    </row>
    <row r="141" spans="8:14" x14ac:dyDescent="0.25">
      <c r="H141" s="16" t="s">
        <v>61</v>
      </c>
      <c r="I141" s="13" t="s">
        <v>30</v>
      </c>
      <c r="J141" s="18" t="s">
        <v>31</v>
      </c>
      <c r="K141" s="13" t="s">
        <v>8</v>
      </c>
      <c r="L141" s="13" t="s">
        <v>8</v>
      </c>
      <c r="M141" s="13" t="s">
        <v>7</v>
      </c>
      <c r="N141" s="7">
        <f>IF(OR(Table2[[#This Row],[Jam Masuk]]="-",Table2[[#This Row],[Jam Pulang]]="-"),0,Table2[[#This Row],[Jam Pulang]]-Table2[[#This Row],[Jam Masuk]])</f>
        <v>0</v>
      </c>
    </row>
    <row r="142" spans="8:14" x14ac:dyDescent="0.25">
      <c r="H142" s="16" t="s">
        <v>61</v>
      </c>
      <c r="I142" s="13" t="s">
        <v>32</v>
      </c>
      <c r="J142" s="18" t="s">
        <v>33</v>
      </c>
      <c r="K142" s="13">
        <v>0.3347222222222222</v>
      </c>
      <c r="L142" s="13">
        <v>0.72638888888888886</v>
      </c>
      <c r="M142" s="13" t="s">
        <v>5</v>
      </c>
      <c r="N142" s="7">
        <f>IF(OR(Table2[[#This Row],[Jam Masuk]]="-",Table2[[#This Row],[Jam Pulang]]="-"),0,Table2[[#This Row],[Jam Pulang]]-Table2[[#This Row],[Jam Masuk]])</f>
        <v>0.39166666666666666</v>
      </c>
    </row>
    <row r="143" spans="8:14" x14ac:dyDescent="0.25">
      <c r="H143" s="16" t="s">
        <v>61</v>
      </c>
      <c r="I143" s="13" t="s">
        <v>34</v>
      </c>
      <c r="J143" s="18" t="s">
        <v>35</v>
      </c>
      <c r="K143" s="13" t="s">
        <v>8</v>
      </c>
      <c r="L143" s="13" t="s">
        <v>8</v>
      </c>
      <c r="M143" s="13" t="s">
        <v>42</v>
      </c>
      <c r="N143" s="7">
        <f>IF(OR(Table2[[#This Row],[Jam Masuk]]="-",Table2[[#This Row],[Jam Pulang]]="-"),0,Table2[[#This Row],[Jam Pulang]]-Table2[[#This Row],[Jam Masuk]])</f>
        <v>0</v>
      </c>
    </row>
    <row r="144" spans="8:14" x14ac:dyDescent="0.25">
      <c r="H144" s="16" t="s">
        <v>61</v>
      </c>
      <c r="I144" s="13" t="s">
        <v>36</v>
      </c>
      <c r="J144" s="18" t="s">
        <v>37</v>
      </c>
      <c r="K144" s="13">
        <v>0.36458333333333331</v>
      </c>
      <c r="L144" s="13">
        <v>0.74930555555555556</v>
      </c>
      <c r="M144" s="13" t="s">
        <v>44</v>
      </c>
      <c r="N144" s="7">
        <f>IF(OR(Table2[[#This Row],[Jam Masuk]]="-",Table2[[#This Row],[Jam Pulang]]="-"),0,Table2[[#This Row],[Jam Pulang]]-Table2[[#This Row],[Jam Masuk]])</f>
        <v>0.38472222222222224</v>
      </c>
    </row>
    <row r="145" spans="8:14" x14ac:dyDescent="0.25">
      <c r="H145" s="16" t="s">
        <v>61</v>
      </c>
      <c r="I145" s="13" t="s">
        <v>38</v>
      </c>
      <c r="J145" s="18" t="s">
        <v>39</v>
      </c>
      <c r="K145" s="13" t="s">
        <v>8</v>
      </c>
      <c r="L145" s="13" t="s">
        <v>8</v>
      </c>
      <c r="M145" s="13" t="s">
        <v>42</v>
      </c>
      <c r="N145" s="7">
        <f>IF(OR(Table2[[#This Row],[Jam Masuk]]="-",Table2[[#This Row],[Jam Pulang]]="-"),0,Table2[[#This Row],[Jam Pulang]]-Table2[[#This Row],[Jam Masuk]])</f>
        <v>0</v>
      </c>
    </row>
    <row r="146" spans="8:14" x14ac:dyDescent="0.25">
      <c r="H146" s="16" t="s">
        <v>61</v>
      </c>
      <c r="I146" s="13" t="s">
        <v>40</v>
      </c>
      <c r="J146" s="18" t="s">
        <v>41</v>
      </c>
      <c r="K146" s="13">
        <v>0.33680555555555558</v>
      </c>
      <c r="L146" s="13">
        <v>0.74652777777777779</v>
      </c>
      <c r="M146" s="13" t="s">
        <v>5</v>
      </c>
      <c r="N146" s="7">
        <f>IF(OR(Table2[[#This Row],[Jam Masuk]]="-",Table2[[#This Row],[Jam Pulang]]="-"),0,Table2[[#This Row],[Jam Pulang]]-Table2[[#This Row],[Jam Masuk]])</f>
        <v>0.40972222222222221</v>
      </c>
    </row>
    <row r="147" spans="8:14" x14ac:dyDescent="0.25">
      <c r="H147" s="16" t="s">
        <v>60</v>
      </c>
      <c r="I147" s="13" t="s">
        <v>25</v>
      </c>
      <c r="J147" s="18" t="s">
        <v>4</v>
      </c>
      <c r="K147" s="13">
        <v>0.36458333333333331</v>
      </c>
      <c r="L147" s="13">
        <v>0.72152777777777777</v>
      </c>
      <c r="M147" s="13" t="s">
        <v>5</v>
      </c>
      <c r="N147" s="7">
        <f>IF(OR(Table2[[#This Row],[Jam Masuk]]="-",Table2[[#This Row],[Jam Pulang]]="-"),0,Table2[[#This Row],[Jam Pulang]]-Table2[[#This Row],[Jam Masuk]])</f>
        <v>0.35694444444444445</v>
      </c>
    </row>
    <row r="148" spans="8:14" x14ac:dyDescent="0.25">
      <c r="H148" s="16" t="s">
        <v>60</v>
      </c>
      <c r="I148" s="13" t="s">
        <v>26</v>
      </c>
      <c r="J148" s="18" t="s">
        <v>6</v>
      </c>
      <c r="K148" s="13">
        <v>0.36388888888888887</v>
      </c>
      <c r="L148" s="13">
        <v>0.73472222222222228</v>
      </c>
      <c r="M148" s="13" t="s">
        <v>5</v>
      </c>
      <c r="N148" s="7">
        <f>IF(OR(Table2[[#This Row],[Jam Masuk]]="-",Table2[[#This Row],[Jam Pulang]]="-"),0,Table2[[#This Row],[Jam Pulang]]-Table2[[#This Row],[Jam Masuk]])</f>
        <v>0.3708333333333334</v>
      </c>
    </row>
    <row r="149" spans="8:14" x14ac:dyDescent="0.25">
      <c r="H149" s="16" t="s">
        <v>60</v>
      </c>
      <c r="I149" s="13" t="s">
        <v>27</v>
      </c>
      <c r="J149" s="18" t="s">
        <v>28</v>
      </c>
      <c r="K149" s="13" t="s">
        <v>8</v>
      </c>
      <c r="L149" s="13" t="s">
        <v>8</v>
      </c>
      <c r="M149" s="13" t="s">
        <v>42</v>
      </c>
      <c r="N149" s="7">
        <f>IF(OR(Table2[[#This Row],[Jam Masuk]]="-",Table2[[#This Row],[Jam Pulang]]="-"),0,Table2[[#This Row],[Jam Pulang]]-Table2[[#This Row],[Jam Masuk]])</f>
        <v>0</v>
      </c>
    </row>
    <row r="150" spans="8:14" x14ac:dyDescent="0.25">
      <c r="H150" s="16" t="s">
        <v>60</v>
      </c>
      <c r="I150" s="13" t="s">
        <v>29</v>
      </c>
      <c r="J150" s="18" t="s">
        <v>9</v>
      </c>
      <c r="K150" s="13">
        <v>0.37291666666666667</v>
      </c>
      <c r="L150" s="13">
        <v>0.72361111111111109</v>
      </c>
      <c r="M150" s="13" t="s">
        <v>5</v>
      </c>
      <c r="N150" s="7">
        <f>IF(OR(Table2[[#This Row],[Jam Masuk]]="-",Table2[[#This Row],[Jam Pulang]]="-"),0,Table2[[#This Row],[Jam Pulang]]-Table2[[#This Row],[Jam Masuk]])</f>
        <v>0.35069444444444442</v>
      </c>
    </row>
    <row r="151" spans="8:14" x14ac:dyDescent="0.25">
      <c r="H151" s="16" t="s">
        <v>60</v>
      </c>
      <c r="I151" s="13" t="s">
        <v>30</v>
      </c>
      <c r="J151" s="18" t="s">
        <v>31</v>
      </c>
      <c r="K151" s="13" t="s">
        <v>8</v>
      </c>
      <c r="L151" s="13" t="s">
        <v>8</v>
      </c>
      <c r="M151" s="13" t="s">
        <v>42</v>
      </c>
      <c r="N151" s="7">
        <f>IF(OR(Table2[[#This Row],[Jam Masuk]]="-",Table2[[#This Row],[Jam Pulang]]="-"),0,Table2[[#This Row],[Jam Pulang]]-Table2[[#This Row],[Jam Masuk]])</f>
        <v>0</v>
      </c>
    </row>
    <row r="152" spans="8:14" x14ac:dyDescent="0.25">
      <c r="H152" s="16" t="s">
        <v>60</v>
      </c>
      <c r="I152" s="13" t="s">
        <v>32</v>
      </c>
      <c r="J152" s="18" t="s">
        <v>33</v>
      </c>
      <c r="K152" s="13" t="s">
        <v>8</v>
      </c>
      <c r="L152" s="13" t="s">
        <v>8</v>
      </c>
      <c r="M152" s="13" t="s">
        <v>10</v>
      </c>
      <c r="N152" s="7">
        <f>IF(OR(Table2[[#This Row],[Jam Masuk]]="-",Table2[[#This Row],[Jam Pulang]]="-"),0,Table2[[#This Row],[Jam Pulang]]-Table2[[#This Row],[Jam Masuk]])</f>
        <v>0</v>
      </c>
    </row>
    <row r="153" spans="8:14" x14ac:dyDescent="0.25">
      <c r="H153" s="16" t="s">
        <v>60</v>
      </c>
      <c r="I153" s="13" t="s">
        <v>34</v>
      </c>
      <c r="J153" s="18" t="s">
        <v>35</v>
      </c>
      <c r="K153" s="13" t="s">
        <v>8</v>
      </c>
      <c r="L153" s="13" t="s">
        <v>8</v>
      </c>
      <c r="M153" s="13" t="s">
        <v>10</v>
      </c>
      <c r="N153" s="7">
        <f>IF(OR(Table2[[#This Row],[Jam Masuk]]="-",Table2[[#This Row],[Jam Pulang]]="-"),0,Table2[[#This Row],[Jam Pulang]]-Table2[[#This Row],[Jam Masuk]])</f>
        <v>0</v>
      </c>
    </row>
    <row r="154" spans="8:14" x14ac:dyDescent="0.25">
      <c r="H154" s="16" t="s">
        <v>60</v>
      </c>
      <c r="I154" s="13" t="s">
        <v>36</v>
      </c>
      <c r="J154" s="18" t="s">
        <v>37</v>
      </c>
      <c r="K154" s="13">
        <v>0.36180555555555555</v>
      </c>
      <c r="L154" s="13">
        <v>0.74513888888888891</v>
      </c>
      <c r="M154" s="13" t="s">
        <v>44</v>
      </c>
      <c r="N154" s="7">
        <f>IF(OR(Table2[[#This Row],[Jam Masuk]]="-",Table2[[#This Row],[Jam Pulang]]="-"),0,Table2[[#This Row],[Jam Pulang]]-Table2[[#This Row],[Jam Masuk]])</f>
        <v>0.38333333333333336</v>
      </c>
    </row>
    <row r="155" spans="8:14" x14ac:dyDescent="0.25">
      <c r="H155" s="16" t="s">
        <v>60</v>
      </c>
      <c r="I155" s="13" t="s">
        <v>38</v>
      </c>
      <c r="J155" s="18" t="s">
        <v>39</v>
      </c>
      <c r="K155" s="13" t="s">
        <v>8</v>
      </c>
      <c r="L155" s="13" t="s">
        <v>8</v>
      </c>
      <c r="M155" s="13" t="s">
        <v>42</v>
      </c>
      <c r="N155" s="7">
        <f>IF(OR(Table2[[#This Row],[Jam Masuk]]="-",Table2[[#This Row],[Jam Pulang]]="-"),0,Table2[[#This Row],[Jam Pulang]]-Table2[[#This Row],[Jam Masuk]])</f>
        <v>0</v>
      </c>
    </row>
    <row r="156" spans="8:14" x14ac:dyDescent="0.25">
      <c r="H156" s="16" t="s">
        <v>60</v>
      </c>
      <c r="I156" s="13" t="s">
        <v>40</v>
      </c>
      <c r="J156" s="18" t="s">
        <v>41</v>
      </c>
      <c r="K156" s="13" t="s">
        <v>8</v>
      </c>
      <c r="L156" s="13" t="s">
        <v>8</v>
      </c>
      <c r="M156" s="13" t="s">
        <v>42</v>
      </c>
      <c r="N156" s="7">
        <f>IF(OR(Table2[[#This Row],[Jam Masuk]]="-",Table2[[#This Row],[Jam Pulang]]="-"),0,Table2[[#This Row],[Jam Pulang]]-Table2[[#This Row],[Jam Masuk]])</f>
        <v>0</v>
      </c>
    </row>
    <row r="157" spans="8:14" x14ac:dyDescent="0.25">
      <c r="H157" s="16" t="s">
        <v>59</v>
      </c>
      <c r="I157" s="13" t="s">
        <v>25</v>
      </c>
      <c r="J157" s="18" t="s">
        <v>4</v>
      </c>
      <c r="K157" s="13">
        <v>0.34513888888888888</v>
      </c>
      <c r="L157" s="13">
        <v>0.71944444444444444</v>
      </c>
      <c r="M157" s="13" t="s">
        <v>44</v>
      </c>
      <c r="N157" s="7">
        <f>IF(OR(Table2[[#This Row],[Jam Masuk]]="-",Table2[[#This Row],[Jam Pulang]]="-"),0,Table2[[#This Row],[Jam Pulang]]-Table2[[#This Row],[Jam Masuk]])</f>
        <v>0.37430555555555556</v>
      </c>
    </row>
    <row r="158" spans="8:14" x14ac:dyDescent="0.25">
      <c r="H158" s="16" t="s">
        <v>59</v>
      </c>
      <c r="I158" s="13" t="s">
        <v>26</v>
      </c>
      <c r="J158" s="18" t="s">
        <v>6</v>
      </c>
      <c r="K158" s="13" t="s">
        <v>8</v>
      </c>
      <c r="L158" s="13" t="s">
        <v>8</v>
      </c>
      <c r="M158" s="13" t="s">
        <v>42</v>
      </c>
      <c r="N158" s="7">
        <f>IF(OR(Table2[[#This Row],[Jam Masuk]]="-",Table2[[#This Row],[Jam Pulang]]="-"),0,Table2[[#This Row],[Jam Pulang]]-Table2[[#This Row],[Jam Masuk]])</f>
        <v>0</v>
      </c>
    </row>
    <row r="159" spans="8:14" x14ac:dyDescent="0.25">
      <c r="H159" s="16" t="s">
        <v>59</v>
      </c>
      <c r="I159" s="13" t="s">
        <v>27</v>
      </c>
      <c r="J159" s="18" t="s">
        <v>28</v>
      </c>
      <c r="K159" s="13" t="s">
        <v>8</v>
      </c>
      <c r="L159" s="13" t="s">
        <v>8</v>
      </c>
      <c r="M159" s="13" t="s">
        <v>10</v>
      </c>
      <c r="N159" s="7">
        <f>IF(OR(Table2[[#This Row],[Jam Masuk]]="-",Table2[[#This Row],[Jam Pulang]]="-"),0,Table2[[#This Row],[Jam Pulang]]-Table2[[#This Row],[Jam Masuk]])</f>
        <v>0</v>
      </c>
    </row>
    <row r="160" spans="8:14" x14ac:dyDescent="0.25">
      <c r="H160" s="16" t="s">
        <v>59</v>
      </c>
      <c r="I160" s="13" t="s">
        <v>29</v>
      </c>
      <c r="J160" s="18" t="s">
        <v>9</v>
      </c>
      <c r="K160" s="13">
        <v>0.36875000000000002</v>
      </c>
      <c r="L160" s="13">
        <v>0.72361111111111109</v>
      </c>
      <c r="M160" s="13" t="s">
        <v>5</v>
      </c>
      <c r="N160" s="7">
        <f>IF(OR(Table2[[#This Row],[Jam Masuk]]="-",Table2[[#This Row],[Jam Pulang]]="-"),0,Table2[[#This Row],[Jam Pulang]]-Table2[[#This Row],[Jam Masuk]])</f>
        <v>0.35486111111111107</v>
      </c>
    </row>
    <row r="161" spans="8:14" x14ac:dyDescent="0.25">
      <c r="H161" s="16" t="s">
        <v>59</v>
      </c>
      <c r="I161" s="13" t="s">
        <v>30</v>
      </c>
      <c r="J161" s="18" t="s">
        <v>31</v>
      </c>
      <c r="K161" s="13" t="s">
        <v>8</v>
      </c>
      <c r="L161" s="13" t="s">
        <v>8</v>
      </c>
      <c r="M161" s="13" t="s">
        <v>7</v>
      </c>
      <c r="N161" s="7">
        <f>IF(OR(Table2[[#This Row],[Jam Masuk]]="-",Table2[[#This Row],[Jam Pulang]]="-"),0,Table2[[#This Row],[Jam Pulang]]-Table2[[#This Row],[Jam Masuk]])</f>
        <v>0</v>
      </c>
    </row>
    <row r="162" spans="8:14" x14ac:dyDescent="0.25">
      <c r="H162" s="16" t="s">
        <v>59</v>
      </c>
      <c r="I162" s="13" t="s">
        <v>32</v>
      </c>
      <c r="J162" s="18" t="s">
        <v>33</v>
      </c>
      <c r="K162" s="13" t="s">
        <v>8</v>
      </c>
      <c r="L162" s="13" t="s">
        <v>8</v>
      </c>
      <c r="M162" s="13" t="s">
        <v>7</v>
      </c>
      <c r="N162" s="7">
        <f>IF(OR(Table2[[#This Row],[Jam Masuk]]="-",Table2[[#This Row],[Jam Pulang]]="-"),0,Table2[[#This Row],[Jam Pulang]]-Table2[[#This Row],[Jam Masuk]])</f>
        <v>0</v>
      </c>
    </row>
    <row r="163" spans="8:14" x14ac:dyDescent="0.25">
      <c r="H163" s="16" t="s">
        <v>59</v>
      </c>
      <c r="I163" s="13" t="s">
        <v>34</v>
      </c>
      <c r="J163" s="18" t="s">
        <v>35</v>
      </c>
      <c r="K163" s="13">
        <v>0.34375</v>
      </c>
      <c r="L163" s="13">
        <v>0.74861111111111112</v>
      </c>
      <c r="M163" s="13" t="s">
        <v>44</v>
      </c>
      <c r="N163" s="7">
        <f>IF(OR(Table2[[#This Row],[Jam Masuk]]="-",Table2[[#This Row],[Jam Pulang]]="-"),0,Table2[[#This Row],[Jam Pulang]]-Table2[[#This Row],[Jam Masuk]])</f>
        <v>0.40486111111111112</v>
      </c>
    </row>
    <row r="164" spans="8:14" x14ac:dyDescent="0.25">
      <c r="H164" s="16" t="s">
        <v>59</v>
      </c>
      <c r="I164" s="13" t="s">
        <v>36</v>
      </c>
      <c r="J164" s="18" t="s">
        <v>37</v>
      </c>
      <c r="K164" s="13" t="s">
        <v>8</v>
      </c>
      <c r="L164" s="13" t="s">
        <v>8</v>
      </c>
      <c r="M164" s="13" t="s">
        <v>42</v>
      </c>
      <c r="N164" s="7">
        <f>IF(OR(Table2[[#This Row],[Jam Masuk]]="-",Table2[[#This Row],[Jam Pulang]]="-"),0,Table2[[#This Row],[Jam Pulang]]-Table2[[#This Row],[Jam Masuk]])</f>
        <v>0</v>
      </c>
    </row>
    <row r="165" spans="8:14" x14ac:dyDescent="0.25">
      <c r="H165" s="16" t="s">
        <v>59</v>
      </c>
      <c r="I165" s="13" t="s">
        <v>38</v>
      </c>
      <c r="J165" s="18" t="s">
        <v>39</v>
      </c>
      <c r="K165" s="13">
        <v>0.35416666666666669</v>
      </c>
      <c r="L165" s="13">
        <v>0.71875</v>
      </c>
      <c r="M165" s="13" t="s">
        <v>5</v>
      </c>
      <c r="N165" s="7">
        <f>IF(OR(Table2[[#This Row],[Jam Masuk]]="-",Table2[[#This Row],[Jam Pulang]]="-"),0,Table2[[#This Row],[Jam Pulang]]-Table2[[#This Row],[Jam Masuk]])</f>
        <v>0.36458333333333331</v>
      </c>
    </row>
    <row r="166" spans="8:14" x14ac:dyDescent="0.25">
      <c r="H166" s="16" t="s">
        <v>59</v>
      </c>
      <c r="I166" s="13" t="s">
        <v>40</v>
      </c>
      <c r="J166" s="18" t="s">
        <v>41</v>
      </c>
      <c r="K166" s="13">
        <v>0.35347222222222224</v>
      </c>
      <c r="L166" s="13">
        <v>0.73750000000000004</v>
      </c>
      <c r="M166" s="13" t="s">
        <v>5</v>
      </c>
      <c r="N166" s="7">
        <f>IF(OR(Table2[[#This Row],[Jam Masuk]]="-",Table2[[#This Row],[Jam Pulang]]="-"),0,Table2[[#This Row],[Jam Pulang]]-Table2[[#This Row],[Jam Masuk]])</f>
        <v>0.3840277777777778</v>
      </c>
    </row>
    <row r="167" spans="8:14" x14ac:dyDescent="0.25">
      <c r="H167" s="16" t="s">
        <v>58</v>
      </c>
      <c r="I167" s="13" t="s">
        <v>25</v>
      </c>
      <c r="J167" s="18" t="s">
        <v>4</v>
      </c>
      <c r="K167" s="13" t="s">
        <v>8</v>
      </c>
      <c r="L167" s="13" t="s">
        <v>8</v>
      </c>
      <c r="M167" s="13" t="s">
        <v>10</v>
      </c>
      <c r="N167" s="7">
        <f>IF(OR(Table2[[#This Row],[Jam Masuk]]="-",Table2[[#This Row],[Jam Pulang]]="-"),0,Table2[[#This Row],[Jam Pulang]]-Table2[[#This Row],[Jam Masuk]])</f>
        <v>0</v>
      </c>
    </row>
    <row r="168" spans="8:14" x14ac:dyDescent="0.25">
      <c r="H168" s="16" t="s">
        <v>58</v>
      </c>
      <c r="I168" s="13" t="s">
        <v>26</v>
      </c>
      <c r="J168" s="18" t="s">
        <v>6</v>
      </c>
      <c r="K168" s="13">
        <v>0.35069444444444442</v>
      </c>
      <c r="L168" s="13">
        <v>0.73402777777777772</v>
      </c>
      <c r="M168" s="13" t="s">
        <v>5</v>
      </c>
      <c r="N168" s="7">
        <f>IF(OR(Table2[[#This Row],[Jam Masuk]]="-",Table2[[#This Row],[Jam Pulang]]="-"),0,Table2[[#This Row],[Jam Pulang]]-Table2[[#This Row],[Jam Masuk]])</f>
        <v>0.3833333333333333</v>
      </c>
    </row>
    <row r="169" spans="8:14" x14ac:dyDescent="0.25">
      <c r="H169" s="16" t="s">
        <v>58</v>
      </c>
      <c r="I169" s="13" t="s">
        <v>27</v>
      </c>
      <c r="J169" s="18" t="s">
        <v>28</v>
      </c>
      <c r="K169" s="13" t="s">
        <v>8</v>
      </c>
      <c r="L169" s="13" t="s">
        <v>8</v>
      </c>
      <c r="M169" s="13" t="s">
        <v>7</v>
      </c>
      <c r="N169" s="7">
        <f>IF(OR(Table2[[#This Row],[Jam Masuk]]="-",Table2[[#This Row],[Jam Pulang]]="-"),0,Table2[[#This Row],[Jam Pulang]]-Table2[[#This Row],[Jam Masuk]])</f>
        <v>0</v>
      </c>
    </row>
    <row r="170" spans="8:14" x14ac:dyDescent="0.25">
      <c r="H170" s="16" t="s">
        <v>58</v>
      </c>
      <c r="I170" s="13" t="s">
        <v>29</v>
      </c>
      <c r="J170" s="18" t="s">
        <v>9</v>
      </c>
      <c r="K170" s="13">
        <v>0.34166666666666667</v>
      </c>
      <c r="L170" s="13">
        <v>0.72361111111111109</v>
      </c>
      <c r="M170" s="13" t="s">
        <v>5</v>
      </c>
      <c r="N170" s="7">
        <f>IF(OR(Table2[[#This Row],[Jam Masuk]]="-",Table2[[#This Row],[Jam Pulang]]="-"),0,Table2[[#This Row],[Jam Pulang]]-Table2[[#This Row],[Jam Masuk]])</f>
        <v>0.38194444444444442</v>
      </c>
    </row>
    <row r="171" spans="8:14" x14ac:dyDescent="0.25">
      <c r="H171" s="16" t="s">
        <v>58</v>
      </c>
      <c r="I171" s="13" t="s">
        <v>30</v>
      </c>
      <c r="J171" s="18" t="s">
        <v>31</v>
      </c>
      <c r="K171" s="13">
        <v>0.35902777777777778</v>
      </c>
      <c r="L171" s="13">
        <v>0.73472222222222228</v>
      </c>
      <c r="M171" s="13" t="s">
        <v>5</v>
      </c>
      <c r="N171" s="7">
        <f>IF(OR(Table2[[#This Row],[Jam Masuk]]="-",Table2[[#This Row],[Jam Pulang]]="-"),0,Table2[[#This Row],[Jam Pulang]]-Table2[[#This Row],[Jam Masuk]])</f>
        <v>0.3756944444444445</v>
      </c>
    </row>
    <row r="172" spans="8:14" x14ac:dyDescent="0.25">
      <c r="H172" s="16" t="s">
        <v>58</v>
      </c>
      <c r="I172" s="13" t="s">
        <v>32</v>
      </c>
      <c r="J172" s="18" t="s">
        <v>33</v>
      </c>
      <c r="K172" s="13" t="s">
        <v>8</v>
      </c>
      <c r="L172" s="13" t="s">
        <v>8</v>
      </c>
      <c r="M172" s="13" t="s">
        <v>42</v>
      </c>
      <c r="N172" s="7">
        <f>IF(OR(Table2[[#This Row],[Jam Masuk]]="-",Table2[[#This Row],[Jam Pulang]]="-"),0,Table2[[#This Row],[Jam Pulang]]-Table2[[#This Row],[Jam Masuk]])</f>
        <v>0</v>
      </c>
    </row>
    <row r="173" spans="8:14" x14ac:dyDescent="0.25">
      <c r="H173" s="16" t="s">
        <v>58</v>
      </c>
      <c r="I173" s="13" t="s">
        <v>34</v>
      </c>
      <c r="J173" s="18" t="s">
        <v>35</v>
      </c>
      <c r="K173" s="13">
        <v>0.35555555555555557</v>
      </c>
      <c r="L173" s="13">
        <v>0.70902777777777781</v>
      </c>
      <c r="M173" s="13" t="s">
        <v>44</v>
      </c>
      <c r="N173" s="7">
        <f>IF(OR(Table2[[#This Row],[Jam Masuk]]="-",Table2[[#This Row],[Jam Pulang]]="-"),0,Table2[[#This Row],[Jam Pulang]]-Table2[[#This Row],[Jam Masuk]])</f>
        <v>0.35347222222222224</v>
      </c>
    </row>
    <row r="174" spans="8:14" x14ac:dyDescent="0.25">
      <c r="H174" s="16" t="s">
        <v>58</v>
      </c>
      <c r="I174" s="13" t="s">
        <v>36</v>
      </c>
      <c r="J174" s="18" t="s">
        <v>37</v>
      </c>
      <c r="K174" s="13">
        <v>0.35347222222222224</v>
      </c>
      <c r="L174" s="13">
        <v>0.7270833333333333</v>
      </c>
      <c r="M174" s="13" t="s">
        <v>5</v>
      </c>
      <c r="N174" s="7">
        <f>IF(OR(Table2[[#This Row],[Jam Masuk]]="-",Table2[[#This Row],[Jam Pulang]]="-"),0,Table2[[#This Row],[Jam Pulang]]-Table2[[#This Row],[Jam Masuk]])</f>
        <v>0.37361111111111106</v>
      </c>
    </row>
    <row r="175" spans="8:14" x14ac:dyDescent="0.25">
      <c r="H175" s="16" t="s">
        <v>58</v>
      </c>
      <c r="I175" s="13" t="s">
        <v>38</v>
      </c>
      <c r="J175" s="18" t="s">
        <v>39</v>
      </c>
      <c r="K175" s="13">
        <v>0.34513888888888888</v>
      </c>
      <c r="L175" s="13">
        <v>0.73402777777777772</v>
      </c>
      <c r="M175" s="13" t="s">
        <v>5</v>
      </c>
      <c r="N175" s="7">
        <f>IF(OR(Table2[[#This Row],[Jam Masuk]]="-",Table2[[#This Row],[Jam Pulang]]="-"),0,Table2[[#This Row],[Jam Pulang]]-Table2[[#This Row],[Jam Masuk]])</f>
        <v>0.38888888888888884</v>
      </c>
    </row>
    <row r="176" spans="8:14" x14ac:dyDescent="0.25">
      <c r="H176" s="16" t="s">
        <v>58</v>
      </c>
      <c r="I176" s="13" t="s">
        <v>40</v>
      </c>
      <c r="J176" s="18" t="s">
        <v>41</v>
      </c>
      <c r="K176" s="13" t="s">
        <v>8</v>
      </c>
      <c r="L176" s="13" t="s">
        <v>8</v>
      </c>
      <c r="M176" s="13" t="s">
        <v>42</v>
      </c>
      <c r="N176" s="7">
        <f>IF(OR(Table2[[#This Row],[Jam Masuk]]="-",Table2[[#This Row],[Jam Pulang]]="-"),0,Table2[[#This Row],[Jam Pulang]]-Table2[[#This Row],[Jam Masuk]])</f>
        <v>0</v>
      </c>
    </row>
    <row r="177" spans="8:14" x14ac:dyDescent="0.25">
      <c r="H177" s="16" t="s">
        <v>57</v>
      </c>
      <c r="I177" s="13" t="s">
        <v>25</v>
      </c>
      <c r="J177" s="18" t="s">
        <v>4</v>
      </c>
      <c r="K177" s="13">
        <v>0.36319444444444443</v>
      </c>
      <c r="L177" s="13">
        <v>0.73888888888888893</v>
      </c>
      <c r="M177" s="13" t="s">
        <v>44</v>
      </c>
      <c r="N177" s="7">
        <f>IF(OR(Table2[[#This Row],[Jam Masuk]]="-",Table2[[#This Row],[Jam Pulang]]="-"),0,Table2[[#This Row],[Jam Pulang]]-Table2[[#This Row],[Jam Masuk]])</f>
        <v>0.3756944444444445</v>
      </c>
    </row>
    <row r="178" spans="8:14" x14ac:dyDescent="0.25">
      <c r="H178" s="16" t="s">
        <v>57</v>
      </c>
      <c r="I178" s="13" t="s">
        <v>26</v>
      </c>
      <c r="J178" s="18" t="s">
        <v>6</v>
      </c>
      <c r="K178" s="13">
        <v>0.34513888888888888</v>
      </c>
      <c r="L178" s="13">
        <v>0.71250000000000002</v>
      </c>
      <c r="M178" s="13" t="s">
        <v>44</v>
      </c>
      <c r="N178" s="7">
        <f>IF(OR(Table2[[#This Row],[Jam Masuk]]="-",Table2[[#This Row],[Jam Pulang]]="-"),0,Table2[[#This Row],[Jam Pulang]]-Table2[[#This Row],[Jam Masuk]])</f>
        <v>0.36736111111111114</v>
      </c>
    </row>
    <row r="179" spans="8:14" x14ac:dyDescent="0.25">
      <c r="H179" s="16" t="s">
        <v>57</v>
      </c>
      <c r="I179" s="13" t="s">
        <v>27</v>
      </c>
      <c r="J179" s="18" t="s">
        <v>28</v>
      </c>
      <c r="K179" s="13" t="s">
        <v>8</v>
      </c>
      <c r="L179" s="13" t="s">
        <v>8</v>
      </c>
      <c r="M179" s="13" t="s">
        <v>42</v>
      </c>
      <c r="N179" s="7">
        <f>IF(OR(Table2[[#This Row],[Jam Masuk]]="-",Table2[[#This Row],[Jam Pulang]]="-"),0,Table2[[#This Row],[Jam Pulang]]-Table2[[#This Row],[Jam Masuk]])</f>
        <v>0</v>
      </c>
    </row>
    <row r="180" spans="8:14" x14ac:dyDescent="0.25">
      <c r="H180" s="16" t="s">
        <v>57</v>
      </c>
      <c r="I180" s="13" t="s">
        <v>29</v>
      </c>
      <c r="J180" s="18" t="s">
        <v>9</v>
      </c>
      <c r="K180" s="13" t="s">
        <v>8</v>
      </c>
      <c r="L180" s="13" t="s">
        <v>8</v>
      </c>
      <c r="M180" s="13" t="s">
        <v>7</v>
      </c>
      <c r="N180" s="7">
        <f>IF(OR(Table2[[#This Row],[Jam Masuk]]="-",Table2[[#This Row],[Jam Pulang]]="-"),0,Table2[[#This Row],[Jam Pulang]]-Table2[[#This Row],[Jam Masuk]])</f>
        <v>0</v>
      </c>
    </row>
    <row r="181" spans="8:14" x14ac:dyDescent="0.25">
      <c r="H181" s="16" t="s">
        <v>57</v>
      </c>
      <c r="I181" s="13" t="s">
        <v>30</v>
      </c>
      <c r="J181" s="18" t="s">
        <v>31</v>
      </c>
      <c r="K181" s="13">
        <v>0.33750000000000002</v>
      </c>
      <c r="L181" s="13">
        <v>0.72152777777777777</v>
      </c>
      <c r="M181" s="13" t="s">
        <v>44</v>
      </c>
      <c r="N181" s="7">
        <f>IF(OR(Table2[[#This Row],[Jam Masuk]]="-",Table2[[#This Row],[Jam Pulang]]="-"),0,Table2[[#This Row],[Jam Pulang]]-Table2[[#This Row],[Jam Masuk]])</f>
        <v>0.38402777777777775</v>
      </c>
    </row>
    <row r="182" spans="8:14" x14ac:dyDescent="0.25">
      <c r="H182" s="16" t="s">
        <v>57</v>
      </c>
      <c r="I182" s="13" t="s">
        <v>32</v>
      </c>
      <c r="J182" s="18" t="s">
        <v>33</v>
      </c>
      <c r="K182" s="13" t="s">
        <v>8</v>
      </c>
      <c r="L182" s="13" t="s">
        <v>8</v>
      </c>
      <c r="M182" s="13" t="s">
        <v>42</v>
      </c>
      <c r="N182" s="7">
        <f>IF(OR(Table2[[#This Row],[Jam Masuk]]="-",Table2[[#This Row],[Jam Pulang]]="-"),0,Table2[[#This Row],[Jam Pulang]]-Table2[[#This Row],[Jam Masuk]])</f>
        <v>0</v>
      </c>
    </row>
    <row r="183" spans="8:14" x14ac:dyDescent="0.25">
      <c r="H183" s="16" t="s">
        <v>57</v>
      </c>
      <c r="I183" s="13" t="s">
        <v>34</v>
      </c>
      <c r="J183" s="18" t="s">
        <v>35</v>
      </c>
      <c r="K183" s="13" t="s">
        <v>8</v>
      </c>
      <c r="L183" s="13" t="s">
        <v>8</v>
      </c>
      <c r="M183" s="13" t="s">
        <v>7</v>
      </c>
      <c r="N183" s="7">
        <f>IF(OR(Table2[[#This Row],[Jam Masuk]]="-",Table2[[#This Row],[Jam Pulang]]="-"),0,Table2[[#This Row],[Jam Pulang]]-Table2[[#This Row],[Jam Masuk]])</f>
        <v>0</v>
      </c>
    </row>
    <row r="184" spans="8:14" x14ac:dyDescent="0.25">
      <c r="H184" s="16" t="s">
        <v>57</v>
      </c>
      <c r="I184" s="13" t="s">
        <v>36</v>
      </c>
      <c r="J184" s="18" t="s">
        <v>37</v>
      </c>
      <c r="K184" s="13">
        <v>0.35555555555555557</v>
      </c>
      <c r="L184" s="13">
        <v>0.74722222222222223</v>
      </c>
      <c r="M184" s="13" t="s">
        <v>5</v>
      </c>
      <c r="N184" s="7">
        <f>IF(OR(Table2[[#This Row],[Jam Masuk]]="-",Table2[[#This Row],[Jam Pulang]]="-"),0,Table2[[#This Row],[Jam Pulang]]-Table2[[#This Row],[Jam Masuk]])</f>
        <v>0.39166666666666666</v>
      </c>
    </row>
    <row r="185" spans="8:14" x14ac:dyDescent="0.25">
      <c r="H185" s="16" t="s">
        <v>57</v>
      </c>
      <c r="I185" s="13" t="s">
        <v>38</v>
      </c>
      <c r="J185" s="18" t="s">
        <v>39</v>
      </c>
      <c r="K185" s="13" t="s">
        <v>8</v>
      </c>
      <c r="L185" s="13" t="s">
        <v>8</v>
      </c>
      <c r="M185" s="13" t="s">
        <v>7</v>
      </c>
      <c r="N185" s="7">
        <f>IF(OR(Table2[[#This Row],[Jam Masuk]]="-",Table2[[#This Row],[Jam Pulang]]="-"),0,Table2[[#This Row],[Jam Pulang]]-Table2[[#This Row],[Jam Masuk]])</f>
        <v>0</v>
      </c>
    </row>
    <row r="186" spans="8:14" x14ac:dyDescent="0.25">
      <c r="H186" s="16" t="s">
        <v>57</v>
      </c>
      <c r="I186" s="13" t="s">
        <v>40</v>
      </c>
      <c r="J186" s="18" t="s">
        <v>41</v>
      </c>
      <c r="K186" s="13" t="s">
        <v>8</v>
      </c>
      <c r="L186" s="13" t="s">
        <v>8</v>
      </c>
      <c r="M186" s="13" t="s">
        <v>7</v>
      </c>
      <c r="N186" s="7">
        <f>IF(OR(Table2[[#This Row],[Jam Masuk]]="-",Table2[[#This Row],[Jam Pulang]]="-"),0,Table2[[#This Row],[Jam Pulang]]-Table2[[#This Row],[Jam Masuk]])</f>
        <v>0</v>
      </c>
    </row>
    <row r="187" spans="8:14" x14ac:dyDescent="0.25">
      <c r="H187" s="16" t="s">
        <v>56</v>
      </c>
      <c r="I187" s="13" t="s">
        <v>25</v>
      </c>
      <c r="J187" s="18" t="s">
        <v>4</v>
      </c>
      <c r="K187" s="13" t="s">
        <v>8</v>
      </c>
      <c r="L187" s="13" t="s">
        <v>8</v>
      </c>
      <c r="M187" s="13" t="s">
        <v>10</v>
      </c>
      <c r="N187" s="7">
        <f>IF(OR(Table2[[#This Row],[Jam Masuk]]="-",Table2[[#This Row],[Jam Pulang]]="-"),0,Table2[[#This Row],[Jam Pulang]]-Table2[[#This Row],[Jam Masuk]])</f>
        <v>0</v>
      </c>
    </row>
    <row r="188" spans="8:14" x14ac:dyDescent="0.25">
      <c r="H188" s="16" t="s">
        <v>56</v>
      </c>
      <c r="I188" s="13" t="s">
        <v>26</v>
      </c>
      <c r="J188" s="18" t="s">
        <v>6</v>
      </c>
      <c r="K188" s="13" t="s">
        <v>8</v>
      </c>
      <c r="L188" s="13" t="s">
        <v>8</v>
      </c>
      <c r="M188" s="13" t="s">
        <v>42</v>
      </c>
      <c r="N188" s="7">
        <f>IF(OR(Table2[[#This Row],[Jam Masuk]]="-",Table2[[#This Row],[Jam Pulang]]="-"),0,Table2[[#This Row],[Jam Pulang]]-Table2[[#This Row],[Jam Masuk]])</f>
        <v>0</v>
      </c>
    </row>
    <row r="189" spans="8:14" x14ac:dyDescent="0.25">
      <c r="H189" s="16" t="s">
        <v>56</v>
      </c>
      <c r="I189" s="13" t="s">
        <v>27</v>
      </c>
      <c r="J189" s="18" t="s">
        <v>28</v>
      </c>
      <c r="K189" s="13">
        <v>0.37222222222222223</v>
      </c>
      <c r="L189" s="13">
        <v>0.71597222222222223</v>
      </c>
      <c r="M189" s="13" t="s">
        <v>44</v>
      </c>
      <c r="N189" s="7">
        <f>IF(OR(Table2[[#This Row],[Jam Masuk]]="-",Table2[[#This Row],[Jam Pulang]]="-"),0,Table2[[#This Row],[Jam Pulang]]-Table2[[#This Row],[Jam Masuk]])</f>
        <v>0.34375</v>
      </c>
    </row>
    <row r="190" spans="8:14" x14ac:dyDescent="0.25">
      <c r="H190" s="16" t="s">
        <v>56</v>
      </c>
      <c r="I190" s="13" t="s">
        <v>29</v>
      </c>
      <c r="J190" s="18" t="s">
        <v>9</v>
      </c>
      <c r="K190" s="13" t="s">
        <v>8</v>
      </c>
      <c r="L190" s="13" t="s">
        <v>8</v>
      </c>
      <c r="M190" s="13" t="s">
        <v>42</v>
      </c>
      <c r="N190" s="7">
        <f>IF(OR(Table2[[#This Row],[Jam Masuk]]="-",Table2[[#This Row],[Jam Pulang]]="-"),0,Table2[[#This Row],[Jam Pulang]]-Table2[[#This Row],[Jam Masuk]])</f>
        <v>0</v>
      </c>
    </row>
    <row r="191" spans="8:14" x14ac:dyDescent="0.25">
      <c r="H191" s="16" t="s">
        <v>56</v>
      </c>
      <c r="I191" s="13" t="s">
        <v>30</v>
      </c>
      <c r="J191" s="18" t="s">
        <v>31</v>
      </c>
      <c r="K191" s="13">
        <v>0.34027777777777779</v>
      </c>
      <c r="L191" s="13">
        <v>0.72152777777777777</v>
      </c>
      <c r="M191" s="13" t="s">
        <v>5</v>
      </c>
      <c r="N191" s="7">
        <f>IF(OR(Table2[[#This Row],[Jam Masuk]]="-",Table2[[#This Row],[Jam Pulang]]="-"),0,Table2[[#This Row],[Jam Pulang]]-Table2[[#This Row],[Jam Masuk]])</f>
        <v>0.38124999999999998</v>
      </c>
    </row>
    <row r="192" spans="8:14" x14ac:dyDescent="0.25">
      <c r="H192" s="16" t="s">
        <v>56</v>
      </c>
      <c r="I192" s="13" t="s">
        <v>32</v>
      </c>
      <c r="J192" s="18" t="s">
        <v>33</v>
      </c>
      <c r="K192" s="13">
        <v>0.34861111111111109</v>
      </c>
      <c r="L192" s="13">
        <v>0.71458333333333335</v>
      </c>
      <c r="M192" s="13" t="s">
        <v>5</v>
      </c>
      <c r="N192" s="7">
        <f>IF(OR(Table2[[#This Row],[Jam Masuk]]="-",Table2[[#This Row],[Jam Pulang]]="-"),0,Table2[[#This Row],[Jam Pulang]]-Table2[[#This Row],[Jam Masuk]])</f>
        <v>0.36597222222222225</v>
      </c>
    </row>
    <row r="193" spans="8:14" x14ac:dyDescent="0.25">
      <c r="H193" s="16" t="s">
        <v>56</v>
      </c>
      <c r="I193" s="13" t="s">
        <v>34</v>
      </c>
      <c r="J193" s="18" t="s">
        <v>35</v>
      </c>
      <c r="K193" s="13" t="s">
        <v>8</v>
      </c>
      <c r="L193" s="13" t="s">
        <v>8</v>
      </c>
      <c r="M193" s="13" t="s">
        <v>7</v>
      </c>
      <c r="N193" s="7">
        <f>IF(OR(Table2[[#This Row],[Jam Masuk]]="-",Table2[[#This Row],[Jam Pulang]]="-"),0,Table2[[#This Row],[Jam Pulang]]-Table2[[#This Row],[Jam Masuk]])</f>
        <v>0</v>
      </c>
    </row>
    <row r="194" spans="8:14" x14ac:dyDescent="0.25">
      <c r="H194" s="16" t="s">
        <v>56</v>
      </c>
      <c r="I194" s="13" t="s">
        <v>36</v>
      </c>
      <c r="J194" s="18" t="s">
        <v>37</v>
      </c>
      <c r="K194" s="13" t="s">
        <v>8</v>
      </c>
      <c r="L194" s="13" t="s">
        <v>8</v>
      </c>
      <c r="M194" s="13" t="s">
        <v>7</v>
      </c>
      <c r="N194" s="7">
        <f>IF(OR(Table2[[#This Row],[Jam Masuk]]="-",Table2[[#This Row],[Jam Pulang]]="-"),0,Table2[[#This Row],[Jam Pulang]]-Table2[[#This Row],[Jam Masuk]])</f>
        <v>0</v>
      </c>
    </row>
    <row r="195" spans="8:14" x14ac:dyDescent="0.25">
      <c r="H195" s="16" t="s">
        <v>56</v>
      </c>
      <c r="I195" s="13" t="s">
        <v>38</v>
      </c>
      <c r="J195" s="18" t="s">
        <v>39</v>
      </c>
      <c r="K195" s="13">
        <v>0.34444444444444444</v>
      </c>
      <c r="L195" s="13">
        <v>0.72152777777777777</v>
      </c>
      <c r="M195" s="13" t="s">
        <v>44</v>
      </c>
      <c r="N195" s="7">
        <f>IF(OR(Table2[[#This Row],[Jam Masuk]]="-",Table2[[#This Row],[Jam Pulang]]="-"),0,Table2[[#This Row],[Jam Pulang]]-Table2[[#This Row],[Jam Masuk]])</f>
        <v>0.37708333333333333</v>
      </c>
    </row>
    <row r="196" spans="8:14" x14ac:dyDescent="0.25">
      <c r="H196" s="16" t="s">
        <v>56</v>
      </c>
      <c r="I196" s="13" t="s">
        <v>40</v>
      </c>
      <c r="J196" s="18" t="s">
        <v>41</v>
      </c>
      <c r="K196" s="13" t="s">
        <v>8</v>
      </c>
      <c r="L196" s="13" t="s">
        <v>8</v>
      </c>
      <c r="M196" s="13" t="s">
        <v>10</v>
      </c>
      <c r="N196" s="7">
        <f>IF(OR(Table2[[#This Row],[Jam Masuk]]="-",Table2[[#This Row],[Jam Pulang]]="-"),0,Table2[[#This Row],[Jam Pulang]]-Table2[[#This Row],[Jam Masuk]])</f>
        <v>0</v>
      </c>
    </row>
    <row r="197" spans="8:14" x14ac:dyDescent="0.25">
      <c r="H197" s="16" t="s">
        <v>55</v>
      </c>
      <c r="I197" s="13" t="s">
        <v>25</v>
      </c>
      <c r="J197" s="18" t="s">
        <v>4</v>
      </c>
      <c r="K197" s="13">
        <v>0.34513888888888888</v>
      </c>
      <c r="L197" s="13">
        <v>0.72291666666666665</v>
      </c>
      <c r="M197" s="13" t="s">
        <v>44</v>
      </c>
      <c r="N197" s="7">
        <f>IF(OR(Table2[[#This Row],[Jam Masuk]]="-",Table2[[#This Row],[Jam Pulang]]="-"),0,Table2[[#This Row],[Jam Pulang]]-Table2[[#This Row],[Jam Masuk]])</f>
        <v>0.37777777777777777</v>
      </c>
    </row>
    <row r="198" spans="8:14" x14ac:dyDescent="0.25">
      <c r="H198" s="16" t="s">
        <v>55</v>
      </c>
      <c r="I198" s="13" t="s">
        <v>26</v>
      </c>
      <c r="J198" s="18" t="s">
        <v>6</v>
      </c>
      <c r="K198" s="13">
        <v>0.34236111111111112</v>
      </c>
      <c r="L198" s="13">
        <v>0.73124999999999996</v>
      </c>
      <c r="M198" s="13" t="s">
        <v>5</v>
      </c>
      <c r="N198" s="7">
        <f>IF(OR(Table2[[#This Row],[Jam Masuk]]="-",Table2[[#This Row],[Jam Pulang]]="-"),0,Table2[[#This Row],[Jam Pulang]]-Table2[[#This Row],[Jam Masuk]])</f>
        <v>0.38888888888888884</v>
      </c>
    </row>
    <row r="199" spans="8:14" x14ac:dyDescent="0.25">
      <c r="H199" s="16" t="s">
        <v>55</v>
      </c>
      <c r="I199" s="13" t="s">
        <v>27</v>
      </c>
      <c r="J199" s="18" t="s">
        <v>28</v>
      </c>
      <c r="K199" s="13" t="s">
        <v>8</v>
      </c>
      <c r="L199" s="13" t="s">
        <v>8</v>
      </c>
      <c r="M199" s="13" t="s">
        <v>10</v>
      </c>
      <c r="N199" s="7">
        <f>IF(OR(Table2[[#This Row],[Jam Masuk]]="-",Table2[[#This Row],[Jam Pulang]]="-"),0,Table2[[#This Row],[Jam Pulang]]-Table2[[#This Row],[Jam Masuk]])</f>
        <v>0</v>
      </c>
    </row>
    <row r="200" spans="8:14" x14ac:dyDescent="0.25">
      <c r="H200" s="16" t="s">
        <v>55</v>
      </c>
      <c r="I200" s="13" t="s">
        <v>29</v>
      </c>
      <c r="J200" s="18" t="s">
        <v>9</v>
      </c>
      <c r="K200" s="13" t="s">
        <v>8</v>
      </c>
      <c r="L200" s="13" t="s">
        <v>8</v>
      </c>
      <c r="M200" s="13" t="s">
        <v>42</v>
      </c>
      <c r="N200" s="7">
        <f>IF(OR(Table2[[#This Row],[Jam Masuk]]="-",Table2[[#This Row],[Jam Pulang]]="-"),0,Table2[[#This Row],[Jam Pulang]]-Table2[[#This Row],[Jam Masuk]])</f>
        <v>0</v>
      </c>
    </row>
    <row r="201" spans="8:14" x14ac:dyDescent="0.25">
      <c r="H201" s="16" t="s">
        <v>55</v>
      </c>
      <c r="I201" s="13" t="s">
        <v>30</v>
      </c>
      <c r="J201" s="18" t="s">
        <v>31</v>
      </c>
      <c r="K201" s="13">
        <v>0.37152777777777779</v>
      </c>
      <c r="L201" s="13">
        <v>0.74583333333333335</v>
      </c>
      <c r="M201" s="13" t="s">
        <v>44</v>
      </c>
      <c r="N201" s="7">
        <f>IF(OR(Table2[[#This Row],[Jam Masuk]]="-",Table2[[#This Row],[Jam Pulang]]="-"),0,Table2[[#This Row],[Jam Pulang]]-Table2[[#This Row],[Jam Masuk]])</f>
        <v>0.37430555555555556</v>
      </c>
    </row>
    <row r="202" spans="8:14" x14ac:dyDescent="0.25">
      <c r="H202" s="16" t="s">
        <v>55</v>
      </c>
      <c r="I202" s="13" t="s">
        <v>32</v>
      </c>
      <c r="J202" s="18" t="s">
        <v>33</v>
      </c>
      <c r="K202" s="13" t="s">
        <v>8</v>
      </c>
      <c r="L202" s="13" t="s">
        <v>8</v>
      </c>
      <c r="M202" s="13" t="s">
        <v>7</v>
      </c>
      <c r="N202" s="7">
        <f>IF(OR(Table2[[#This Row],[Jam Masuk]]="-",Table2[[#This Row],[Jam Pulang]]="-"),0,Table2[[#This Row],[Jam Pulang]]-Table2[[#This Row],[Jam Masuk]])</f>
        <v>0</v>
      </c>
    </row>
    <row r="203" spans="8:14" x14ac:dyDescent="0.25">
      <c r="H203" s="16" t="s">
        <v>55</v>
      </c>
      <c r="I203" s="13" t="s">
        <v>34</v>
      </c>
      <c r="J203" s="18" t="s">
        <v>35</v>
      </c>
      <c r="K203" s="13">
        <v>0.34375</v>
      </c>
      <c r="L203" s="13">
        <v>0.72152777777777777</v>
      </c>
      <c r="M203" s="13" t="s">
        <v>5</v>
      </c>
      <c r="N203" s="7">
        <f>IF(OR(Table2[[#This Row],[Jam Masuk]]="-",Table2[[#This Row],[Jam Pulang]]="-"),0,Table2[[#This Row],[Jam Pulang]]-Table2[[#This Row],[Jam Masuk]])</f>
        <v>0.37777777777777777</v>
      </c>
    </row>
    <row r="204" spans="8:14" x14ac:dyDescent="0.25">
      <c r="H204" s="16" t="s">
        <v>55</v>
      </c>
      <c r="I204" s="13" t="s">
        <v>36</v>
      </c>
      <c r="J204" s="18" t="s">
        <v>37</v>
      </c>
      <c r="K204" s="13">
        <v>0.34722222222222221</v>
      </c>
      <c r="L204" s="13">
        <v>0.73333333333333328</v>
      </c>
      <c r="M204" s="13" t="s">
        <v>5</v>
      </c>
      <c r="N204" s="7">
        <f>IF(OR(Table2[[#This Row],[Jam Masuk]]="-",Table2[[#This Row],[Jam Pulang]]="-"),0,Table2[[#This Row],[Jam Pulang]]-Table2[[#This Row],[Jam Masuk]])</f>
        <v>0.38611111111111107</v>
      </c>
    </row>
    <row r="205" spans="8:14" x14ac:dyDescent="0.25">
      <c r="H205" s="16" t="s">
        <v>55</v>
      </c>
      <c r="I205" s="13" t="s">
        <v>38</v>
      </c>
      <c r="J205" s="18" t="s">
        <v>39</v>
      </c>
      <c r="K205" s="13" t="s">
        <v>8</v>
      </c>
      <c r="L205" s="13" t="s">
        <v>8</v>
      </c>
      <c r="M205" s="13" t="s">
        <v>10</v>
      </c>
      <c r="N205" s="7">
        <f>IF(OR(Table2[[#This Row],[Jam Masuk]]="-",Table2[[#This Row],[Jam Pulang]]="-"),0,Table2[[#This Row],[Jam Pulang]]-Table2[[#This Row],[Jam Masuk]])</f>
        <v>0</v>
      </c>
    </row>
    <row r="206" spans="8:14" x14ac:dyDescent="0.25">
      <c r="H206" s="16" t="s">
        <v>55</v>
      </c>
      <c r="I206" s="13" t="s">
        <v>40</v>
      </c>
      <c r="J206" s="18" t="s">
        <v>41</v>
      </c>
      <c r="K206" s="13" t="s">
        <v>8</v>
      </c>
      <c r="L206" s="13" t="s">
        <v>8</v>
      </c>
      <c r="M206" s="13" t="s">
        <v>42</v>
      </c>
      <c r="N206" s="7">
        <f>IF(OR(Table2[[#This Row],[Jam Masuk]]="-",Table2[[#This Row],[Jam Pulang]]="-"),0,Table2[[#This Row],[Jam Pulang]]-Table2[[#This Row],[Jam Masuk]])</f>
        <v>0</v>
      </c>
    </row>
    <row r="207" spans="8:14" x14ac:dyDescent="0.25">
      <c r="H207" s="16" t="s">
        <v>54</v>
      </c>
      <c r="I207" s="13" t="s">
        <v>25</v>
      </c>
      <c r="J207" s="18" t="s">
        <v>4</v>
      </c>
      <c r="K207" s="13" t="s">
        <v>8</v>
      </c>
      <c r="L207" s="13" t="s">
        <v>8</v>
      </c>
      <c r="M207" s="13" t="s">
        <v>7</v>
      </c>
      <c r="N207" s="7">
        <f>IF(OR(Table2[[#This Row],[Jam Masuk]]="-",Table2[[#This Row],[Jam Pulang]]="-"),0,Table2[[#This Row],[Jam Pulang]]-Table2[[#This Row],[Jam Masuk]])</f>
        <v>0</v>
      </c>
    </row>
    <row r="208" spans="8:14" x14ac:dyDescent="0.25">
      <c r="H208" s="16" t="s">
        <v>54</v>
      </c>
      <c r="I208" s="13" t="s">
        <v>26</v>
      </c>
      <c r="J208" s="18" t="s">
        <v>6</v>
      </c>
      <c r="K208" s="13" t="s">
        <v>8</v>
      </c>
      <c r="L208" s="13" t="s">
        <v>8</v>
      </c>
      <c r="M208" s="13" t="s">
        <v>10</v>
      </c>
      <c r="N208" s="7">
        <f>IF(OR(Table2[[#This Row],[Jam Masuk]]="-",Table2[[#This Row],[Jam Pulang]]="-"),0,Table2[[#This Row],[Jam Pulang]]-Table2[[#This Row],[Jam Masuk]])</f>
        <v>0</v>
      </c>
    </row>
    <row r="209" spans="8:14" x14ac:dyDescent="0.25">
      <c r="H209" s="16" t="s">
        <v>54</v>
      </c>
      <c r="I209" s="13" t="s">
        <v>27</v>
      </c>
      <c r="J209" s="18" t="s">
        <v>28</v>
      </c>
      <c r="K209" s="13" t="s">
        <v>8</v>
      </c>
      <c r="L209" s="13" t="s">
        <v>8</v>
      </c>
      <c r="M209" s="13" t="s">
        <v>7</v>
      </c>
      <c r="N209" s="7">
        <f>IF(OR(Table2[[#This Row],[Jam Masuk]]="-",Table2[[#This Row],[Jam Pulang]]="-"),0,Table2[[#This Row],[Jam Pulang]]-Table2[[#This Row],[Jam Masuk]])</f>
        <v>0</v>
      </c>
    </row>
    <row r="210" spans="8:14" x14ac:dyDescent="0.25">
      <c r="H210" s="16" t="s">
        <v>54</v>
      </c>
      <c r="I210" s="13" t="s">
        <v>29</v>
      </c>
      <c r="J210" s="18" t="s">
        <v>9</v>
      </c>
      <c r="K210" s="13">
        <v>0.35138888888888886</v>
      </c>
      <c r="L210" s="13">
        <v>0.74097222222222225</v>
      </c>
      <c r="M210" s="13" t="s">
        <v>44</v>
      </c>
      <c r="N210" s="7">
        <f>IF(OR(Table2[[#This Row],[Jam Masuk]]="-",Table2[[#This Row],[Jam Pulang]]="-"),0,Table2[[#This Row],[Jam Pulang]]-Table2[[#This Row],[Jam Masuk]])</f>
        <v>0.38958333333333339</v>
      </c>
    </row>
    <row r="211" spans="8:14" x14ac:dyDescent="0.25">
      <c r="H211" s="16" t="s">
        <v>54</v>
      </c>
      <c r="I211" s="13" t="s">
        <v>30</v>
      </c>
      <c r="J211" s="18" t="s">
        <v>31</v>
      </c>
      <c r="K211" s="13">
        <v>0.35416666666666669</v>
      </c>
      <c r="L211" s="13">
        <v>0.73958333333333337</v>
      </c>
      <c r="M211" s="13" t="s">
        <v>44</v>
      </c>
      <c r="N211" s="7">
        <f>IF(OR(Table2[[#This Row],[Jam Masuk]]="-",Table2[[#This Row],[Jam Pulang]]="-"),0,Table2[[#This Row],[Jam Pulang]]-Table2[[#This Row],[Jam Masuk]])</f>
        <v>0.38541666666666669</v>
      </c>
    </row>
    <row r="212" spans="8:14" x14ac:dyDescent="0.25">
      <c r="H212" s="16" t="s">
        <v>54</v>
      </c>
      <c r="I212" s="13" t="s">
        <v>32</v>
      </c>
      <c r="J212" s="18" t="s">
        <v>33</v>
      </c>
      <c r="K212" s="13" t="s">
        <v>8</v>
      </c>
      <c r="L212" s="13" t="s">
        <v>8</v>
      </c>
      <c r="M212" s="13" t="s">
        <v>10</v>
      </c>
      <c r="N212" s="7">
        <f>IF(OR(Table2[[#This Row],[Jam Masuk]]="-",Table2[[#This Row],[Jam Pulang]]="-"),0,Table2[[#This Row],[Jam Pulang]]-Table2[[#This Row],[Jam Masuk]])</f>
        <v>0</v>
      </c>
    </row>
    <row r="213" spans="8:14" x14ac:dyDescent="0.25">
      <c r="H213" s="16" t="s">
        <v>54</v>
      </c>
      <c r="I213" s="13" t="s">
        <v>34</v>
      </c>
      <c r="J213" s="18" t="s">
        <v>35</v>
      </c>
      <c r="K213" s="13" t="s">
        <v>8</v>
      </c>
      <c r="L213" s="13" t="s">
        <v>8</v>
      </c>
      <c r="M213" s="13" t="s">
        <v>10</v>
      </c>
      <c r="N213" s="7">
        <f>IF(OR(Table2[[#This Row],[Jam Masuk]]="-",Table2[[#This Row],[Jam Pulang]]="-"),0,Table2[[#This Row],[Jam Pulang]]-Table2[[#This Row],[Jam Masuk]])</f>
        <v>0</v>
      </c>
    </row>
    <row r="214" spans="8:14" x14ac:dyDescent="0.25">
      <c r="H214" s="16" t="s">
        <v>54</v>
      </c>
      <c r="I214" s="13" t="s">
        <v>36</v>
      </c>
      <c r="J214" s="18" t="s">
        <v>37</v>
      </c>
      <c r="K214" s="13" t="s">
        <v>8</v>
      </c>
      <c r="L214" s="13" t="s">
        <v>8</v>
      </c>
      <c r="M214" s="13" t="s">
        <v>10</v>
      </c>
      <c r="N214" s="7">
        <f>IF(OR(Table2[[#This Row],[Jam Masuk]]="-",Table2[[#This Row],[Jam Pulang]]="-"),0,Table2[[#This Row],[Jam Pulang]]-Table2[[#This Row],[Jam Masuk]])</f>
        <v>0</v>
      </c>
    </row>
    <row r="215" spans="8:14" x14ac:dyDescent="0.25">
      <c r="H215" s="16" t="s">
        <v>54</v>
      </c>
      <c r="I215" s="13" t="s">
        <v>38</v>
      </c>
      <c r="J215" s="18" t="s">
        <v>39</v>
      </c>
      <c r="K215" s="13" t="s">
        <v>8</v>
      </c>
      <c r="L215" s="13" t="s">
        <v>8</v>
      </c>
      <c r="M215" s="13" t="s">
        <v>42</v>
      </c>
      <c r="N215" s="7">
        <f>IF(OR(Table2[[#This Row],[Jam Masuk]]="-",Table2[[#This Row],[Jam Pulang]]="-"),0,Table2[[#This Row],[Jam Pulang]]-Table2[[#This Row],[Jam Masuk]])</f>
        <v>0</v>
      </c>
    </row>
    <row r="216" spans="8:14" x14ac:dyDescent="0.25">
      <c r="H216" s="16" t="s">
        <v>54</v>
      </c>
      <c r="I216" s="13" t="s">
        <v>40</v>
      </c>
      <c r="J216" s="18" t="s">
        <v>41</v>
      </c>
      <c r="K216" s="13" t="s">
        <v>8</v>
      </c>
      <c r="L216" s="13" t="s">
        <v>8</v>
      </c>
      <c r="M216" s="13" t="s">
        <v>10</v>
      </c>
      <c r="N216" s="7">
        <f>IF(OR(Table2[[#This Row],[Jam Masuk]]="-",Table2[[#This Row],[Jam Pulang]]="-"),0,Table2[[#This Row],[Jam Pulang]]-Table2[[#This Row],[Jam Masuk]])</f>
        <v>0</v>
      </c>
    </row>
    <row r="217" spans="8:14" x14ac:dyDescent="0.25">
      <c r="H217" s="16" t="s">
        <v>53</v>
      </c>
      <c r="I217" s="13" t="s">
        <v>25</v>
      </c>
      <c r="J217" s="18" t="s">
        <v>4</v>
      </c>
      <c r="K217" s="13" t="s">
        <v>8</v>
      </c>
      <c r="L217" s="13" t="s">
        <v>8</v>
      </c>
      <c r="M217" s="13" t="s">
        <v>10</v>
      </c>
      <c r="N217" s="7">
        <f>IF(OR(Table2[[#This Row],[Jam Masuk]]="-",Table2[[#This Row],[Jam Pulang]]="-"),0,Table2[[#This Row],[Jam Pulang]]-Table2[[#This Row],[Jam Masuk]])</f>
        <v>0</v>
      </c>
    </row>
    <row r="218" spans="8:14" x14ac:dyDescent="0.25">
      <c r="H218" s="16" t="s">
        <v>53</v>
      </c>
      <c r="I218" s="13" t="s">
        <v>26</v>
      </c>
      <c r="J218" s="18" t="s">
        <v>6</v>
      </c>
      <c r="K218" s="13" t="s">
        <v>8</v>
      </c>
      <c r="L218" s="13" t="s">
        <v>8</v>
      </c>
      <c r="M218" s="13" t="s">
        <v>42</v>
      </c>
      <c r="N218" s="7">
        <f>IF(OR(Table2[[#This Row],[Jam Masuk]]="-",Table2[[#This Row],[Jam Pulang]]="-"),0,Table2[[#This Row],[Jam Pulang]]-Table2[[#This Row],[Jam Masuk]])</f>
        <v>0</v>
      </c>
    </row>
    <row r="219" spans="8:14" x14ac:dyDescent="0.25">
      <c r="H219" s="16" t="s">
        <v>53</v>
      </c>
      <c r="I219" s="13" t="s">
        <v>27</v>
      </c>
      <c r="J219" s="18" t="s">
        <v>28</v>
      </c>
      <c r="K219" s="13" t="s">
        <v>8</v>
      </c>
      <c r="L219" s="13" t="s">
        <v>8</v>
      </c>
      <c r="M219" s="13" t="s">
        <v>10</v>
      </c>
      <c r="N219" s="7">
        <f>IF(OR(Table2[[#This Row],[Jam Masuk]]="-",Table2[[#This Row],[Jam Pulang]]="-"),0,Table2[[#This Row],[Jam Pulang]]-Table2[[#This Row],[Jam Masuk]])</f>
        <v>0</v>
      </c>
    </row>
    <row r="220" spans="8:14" x14ac:dyDescent="0.25">
      <c r="H220" s="16" t="s">
        <v>53</v>
      </c>
      <c r="I220" s="13" t="s">
        <v>29</v>
      </c>
      <c r="J220" s="18" t="s">
        <v>9</v>
      </c>
      <c r="K220" s="13">
        <v>0.34375</v>
      </c>
      <c r="L220" s="13">
        <v>0.73402777777777772</v>
      </c>
      <c r="M220" s="13" t="s">
        <v>5</v>
      </c>
      <c r="N220" s="7">
        <f>IF(OR(Table2[[#This Row],[Jam Masuk]]="-",Table2[[#This Row],[Jam Pulang]]="-"),0,Table2[[#This Row],[Jam Pulang]]-Table2[[#This Row],[Jam Masuk]])</f>
        <v>0.39027777777777772</v>
      </c>
    </row>
    <row r="221" spans="8:14" x14ac:dyDescent="0.25">
      <c r="H221" s="16" t="s">
        <v>53</v>
      </c>
      <c r="I221" s="13" t="s">
        <v>30</v>
      </c>
      <c r="J221" s="18" t="s">
        <v>31</v>
      </c>
      <c r="K221" s="13" t="s">
        <v>8</v>
      </c>
      <c r="L221" s="13" t="s">
        <v>8</v>
      </c>
      <c r="M221" s="13" t="s">
        <v>7</v>
      </c>
      <c r="N221" s="7">
        <f>IF(OR(Table2[[#This Row],[Jam Masuk]]="-",Table2[[#This Row],[Jam Pulang]]="-"),0,Table2[[#This Row],[Jam Pulang]]-Table2[[#This Row],[Jam Masuk]])</f>
        <v>0</v>
      </c>
    </row>
    <row r="222" spans="8:14" x14ac:dyDescent="0.25">
      <c r="H222" s="16" t="s">
        <v>53</v>
      </c>
      <c r="I222" s="13" t="s">
        <v>32</v>
      </c>
      <c r="J222" s="18" t="s">
        <v>33</v>
      </c>
      <c r="K222" s="13" t="s">
        <v>8</v>
      </c>
      <c r="L222" s="13" t="s">
        <v>8</v>
      </c>
      <c r="M222" s="13" t="s">
        <v>10</v>
      </c>
      <c r="N222" s="7">
        <f>IF(OR(Table2[[#This Row],[Jam Masuk]]="-",Table2[[#This Row],[Jam Pulang]]="-"),0,Table2[[#This Row],[Jam Pulang]]-Table2[[#This Row],[Jam Masuk]])</f>
        <v>0</v>
      </c>
    </row>
    <row r="223" spans="8:14" x14ac:dyDescent="0.25">
      <c r="H223" s="16" t="s">
        <v>53</v>
      </c>
      <c r="I223" s="13" t="s">
        <v>34</v>
      </c>
      <c r="J223" s="18" t="s">
        <v>35</v>
      </c>
      <c r="K223" s="13" t="s">
        <v>8</v>
      </c>
      <c r="L223" s="13" t="s">
        <v>8</v>
      </c>
      <c r="M223" s="13" t="s">
        <v>7</v>
      </c>
      <c r="N223" s="7">
        <f>IF(OR(Table2[[#This Row],[Jam Masuk]]="-",Table2[[#This Row],[Jam Pulang]]="-"),0,Table2[[#This Row],[Jam Pulang]]-Table2[[#This Row],[Jam Masuk]])</f>
        <v>0</v>
      </c>
    </row>
    <row r="224" spans="8:14" x14ac:dyDescent="0.25">
      <c r="H224" s="16" t="s">
        <v>53</v>
      </c>
      <c r="I224" s="13" t="s">
        <v>36</v>
      </c>
      <c r="J224" s="18" t="s">
        <v>37</v>
      </c>
      <c r="K224" s="13">
        <v>0.35486111111111113</v>
      </c>
      <c r="L224" s="13">
        <v>0.72152777777777777</v>
      </c>
      <c r="M224" s="13" t="s">
        <v>5</v>
      </c>
      <c r="N224" s="7">
        <f>IF(OR(Table2[[#This Row],[Jam Masuk]]="-",Table2[[#This Row],[Jam Pulang]]="-"),0,Table2[[#This Row],[Jam Pulang]]-Table2[[#This Row],[Jam Masuk]])</f>
        <v>0.36666666666666664</v>
      </c>
    </row>
    <row r="225" spans="8:14" x14ac:dyDescent="0.25">
      <c r="H225" s="16" t="s">
        <v>53</v>
      </c>
      <c r="I225" s="13" t="s">
        <v>38</v>
      </c>
      <c r="J225" s="18" t="s">
        <v>39</v>
      </c>
      <c r="K225" s="13" t="s">
        <v>8</v>
      </c>
      <c r="L225" s="13" t="s">
        <v>8</v>
      </c>
      <c r="M225" s="13" t="s">
        <v>10</v>
      </c>
      <c r="N225" s="7">
        <f>IF(OR(Table2[[#This Row],[Jam Masuk]]="-",Table2[[#This Row],[Jam Pulang]]="-"),0,Table2[[#This Row],[Jam Pulang]]-Table2[[#This Row],[Jam Masuk]])</f>
        <v>0</v>
      </c>
    </row>
    <row r="226" spans="8:14" x14ac:dyDescent="0.25">
      <c r="H226" s="16" t="s">
        <v>53</v>
      </c>
      <c r="I226" s="13" t="s">
        <v>40</v>
      </c>
      <c r="J226" s="18" t="s">
        <v>41</v>
      </c>
      <c r="K226" s="13">
        <v>0.34722222222222221</v>
      </c>
      <c r="L226" s="13">
        <v>0.72847222222222219</v>
      </c>
      <c r="M226" s="13" t="s">
        <v>5</v>
      </c>
      <c r="N226" s="7">
        <f>IF(OR(Table2[[#This Row],[Jam Masuk]]="-",Table2[[#This Row],[Jam Pulang]]="-"),0,Table2[[#This Row],[Jam Pulang]]-Table2[[#This Row],[Jam Masuk]])</f>
        <v>0.38124999999999998</v>
      </c>
    </row>
    <row r="227" spans="8:14" x14ac:dyDescent="0.25">
      <c r="H227" s="16" t="s">
        <v>52</v>
      </c>
      <c r="I227" s="13" t="s">
        <v>25</v>
      </c>
      <c r="J227" s="18" t="s">
        <v>4</v>
      </c>
      <c r="K227" s="13" t="s">
        <v>8</v>
      </c>
      <c r="L227" s="13" t="s">
        <v>8</v>
      </c>
      <c r="M227" s="13" t="s">
        <v>7</v>
      </c>
      <c r="N227" s="7">
        <f>IF(OR(Table2[[#This Row],[Jam Masuk]]="-",Table2[[#This Row],[Jam Pulang]]="-"),0,Table2[[#This Row],[Jam Pulang]]-Table2[[#This Row],[Jam Masuk]])</f>
        <v>0</v>
      </c>
    </row>
    <row r="228" spans="8:14" x14ac:dyDescent="0.25">
      <c r="H228" s="16" t="s">
        <v>52</v>
      </c>
      <c r="I228" s="13" t="s">
        <v>26</v>
      </c>
      <c r="J228" s="18" t="s">
        <v>6</v>
      </c>
      <c r="K228" s="13" t="s">
        <v>8</v>
      </c>
      <c r="L228" s="13" t="s">
        <v>8</v>
      </c>
      <c r="M228" s="13" t="s">
        <v>42</v>
      </c>
      <c r="N228" s="7">
        <f>IF(OR(Table2[[#This Row],[Jam Masuk]]="-",Table2[[#This Row],[Jam Pulang]]="-"),0,Table2[[#This Row],[Jam Pulang]]-Table2[[#This Row],[Jam Masuk]])</f>
        <v>0</v>
      </c>
    </row>
    <row r="229" spans="8:14" x14ac:dyDescent="0.25">
      <c r="H229" s="16" t="s">
        <v>52</v>
      </c>
      <c r="I229" s="13" t="s">
        <v>27</v>
      </c>
      <c r="J229" s="18" t="s">
        <v>28</v>
      </c>
      <c r="K229" s="13">
        <v>0.35972222222222222</v>
      </c>
      <c r="L229" s="13">
        <v>0.7319444444444444</v>
      </c>
      <c r="M229" s="13" t="s">
        <v>5</v>
      </c>
      <c r="N229" s="7">
        <f>IF(OR(Table2[[#This Row],[Jam Masuk]]="-",Table2[[#This Row],[Jam Pulang]]="-"),0,Table2[[#This Row],[Jam Pulang]]-Table2[[#This Row],[Jam Masuk]])</f>
        <v>0.37222222222222218</v>
      </c>
    </row>
    <row r="230" spans="8:14" x14ac:dyDescent="0.25">
      <c r="H230" s="16" t="s">
        <v>52</v>
      </c>
      <c r="I230" s="13" t="s">
        <v>29</v>
      </c>
      <c r="J230" s="18" t="s">
        <v>9</v>
      </c>
      <c r="K230" s="13" t="s">
        <v>8</v>
      </c>
      <c r="L230" s="13" t="s">
        <v>8</v>
      </c>
      <c r="M230" s="13" t="s">
        <v>10</v>
      </c>
      <c r="N230" s="7">
        <f>IF(OR(Table2[[#This Row],[Jam Masuk]]="-",Table2[[#This Row],[Jam Pulang]]="-"),0,Table2[[#This Row],[Jam Pulang]]-Table2[[#This Row],[Jam Masuk]])</f>
        <v>0</v>
      </c>
    </row>
    <row r="231" spans="8:14" x14ac:dyDescent="0.25">
      <c r="H231" s="16" t="s">
        <v>52</v>
      </c>
      <c r="I231" s="13" t="s">
        <v>30</v>
      </c>
      <c r="J231" s="18" t="s">
        <v>31</v>
      </c>
      <c r="K231" s="13">
        <v>0.36180555555555555</v>
      </c>
      <c r="L231" s="13">
        <v>0.73750000000000004</v>
      </c>
      <c r="M231" s="13" t="s">
        <v>5</v>
      </c>
      <c r="N231" s="7">
        <f>IF(OR(Table2[[#This Row],[Jam Masuk]]="-",Table2[[#This Row],[Jam Pulang]]="-"),0,Table2[[#This Row],[Jam Pulang]]-Table2[[#This Row],[Jam Masuk]])</f>
        <v>0.3756944444444445</v>
      </c>
    </row>
    <row r="232" spans="8:14" x14ac:dyDescent="0.25">
      <c r="H232" s="16" t="s">
        <v>52</v>
      </c>
      <c r="I232" s="13" t="s">
        <v>32</v>
      </c>
      <c r="J232" s="18" t="s">
        <v>33</v>
      </c>
      <c r="K232" s="13">
        <v>0.35347222222222224</v>
      </c>
      <c r="L232" s="13">
        <v>0.71666666666666667</v>
      </c>
      <c r="M232" s="13" t="s">
        <v>5</v>
      </c>
      <c r="N232" s="7">
        <f>IF(OR(Table2[[#This Row],[Jam Masuk]]="-",Table2[[#This Row],[Jam Pulang]]="-"),0,Table2[[#This Row],[Jam Pulang]]-Table2[[#This Row],[Jam Masuk]])</f>
        <v>0.36319444444444443</v>
      </c>
    </row>
    <row r="233" spans="8:14" x14ac:dyDescent="0.25">
      <c r="H233" s="16" t="s">
        <v>52</v>
      </c>
      <c r="I233" s="13" t="s">
        <v>34</v>
      </c>
      <c r="J233" s="18" t="s">
        <v>35</v>
      </c>
      <c r="K233" s="13">
        <v>0.33611111111111114</v>
      </c>
      <c r="L233" s="13">
        <v>0.74305555555555558</v>
      </c>
      <c r="M233" s="13" t="s">
        <v>5</v>
      </c>
      <c r="N233" s="7">
        <f>IF(OR(Table2[[#This Row],[Jam Masuk]]="-",Table2[[#This Row],[Jam Pulang]]="-"),0,Table2[[#This Row],[Jam Pulang]]-Table2[[#This Row],[Jam Masuk]])</f>
        <v>0.40694444444444444</v>
      </c>
    </row>
    <row r="234" spans="8:14" x14ac:dyDescent="0.25">
      <c r="H234" s="16" t="s">
        <v>52</v>
      </c>
      <c r="I234" s="13" t="s">
        <v>36</v>
      </c>
      <c r="J234" s="18" t="s">
        <v>37</v>
      </c>
      <c r="K234" s="13" t="s">
        <v>8</v>
      </c>
      <c r="L234" s="13" t="s">
        <v>8</v>
      </c>
      <c r="M234" s="13" t="s">
        <v>7</v>
      </c>
      <c r="N234" s="7">
        <f>IF(OR(Table2[[#This Row],[Jam Masuk]]="-",Table2[[#This Row],[Jam Pulang]]="-"),0,Table2[[#This Row],[Jam Pulang]]-Table2[[#This Row],[Jam Masuk]])</f>
        <v>0</v>
      </c>
    </row>
    <row r="235" spans="8:14" x14ac:dyDescent="0.25">
      <c r="H235" s="16" t="s">
        <v>52</v>
      </c>
      <c r="I235" s="13" t="s">
        <v>38</v>
      </c>
      <c r="J235" s="18" t="s">
        <v>39</v>
      </c>
      <c r="K235" s="13" t="s">
        <v>8</v>
      </c>
      <c r="L235" s="13" t="s">
        <v>8</v>
      </c>
      <c r="M235" s="13" t="s">
        <v>10</v>
      </c>
      <c r="N235" s="7">
        <f>IF(OR(Table2[[#This Row],[Jam Masuk]]="-",Table2[[#This Row],[Jam Pulang]]="-"),0,Table2[[#This Row],[Jam Pulang]]-Table2[[#This Row],[Jam Masuk]])</f>
        <v>0</v>
      </c>
    </row>
    <row r="236" spans="8:14" x14ac:dyDescent="0.25">
      <c r="H236" s="16" t="s">
        <v>52</v>
      </c>
      <c r="I236" s="13" t="s">
        <v>40</v>
      </c>
      <c r="J236" s="18" t="s">
        <v>41</v>
      </c>
      <c r="K236" s="13">
        <v>0.34097222222222223</v>
      </c>
      <c r="L236" s="13">
        <v>0.72291666666666665</v>
      </c>
      <c r="M236" s="13" t="s">
        <v>5</v>
      </c>
      <c r="N236" s="7">
        <f>IF(OR(Table2[[#This Row],[Jam Masuk]]="-",Table2[[#This Row],[Jam Pulang]]="-"),0,Table2[[#This Row],[Jam Pulang]]-Table2[[#This Row],[Jam Masuk]])</f>
        <v>0.38194444444444442</v>
      </c>
    </row>
    <row r="237" spans="8:14" x14ac:dyDescent="0.25">
      <c r="H237" s="16" t="s">
        <v>51</v>
      </c>
      <c r="I237" s="13" t="s">
        <v>25</v>
      </c>
      <c r="J237" s="18" t="s">
        <v>4</v>
      </c>
      <c r="K237" s="13">
        <v>0.33958333333333335</v>
      </c>
      <c r="L237" s="13">
        <v>0.74791666666666667</v>
      </c>
      <c r="M237" s="13" t="s">
        <v>44</v>
      </c>
      <c r="N237" s="7">
        <f>IF(OR(Table2[[#This Row],[Jam Masuk]]="-",Table2[[#This Row],[Jam Pulang]]="-"),0,Table2[[#This Row],[Jam Pulang]]-Table2[[#This Row],[Jam Masuk]])</f>
        <v>0.40833333333333333</v>
      </c>
    </row>
    <row r="238" spans="8:14" x14ac:dyDescent="0.25">
      <c r="H238" s="16" t="s">
        <v>51</v>
      </c>
      <c r="I238" s="13" t="s">
        <v>26</v>
      </c>
      <c r="J238" s="18" t="s">
        <v>6</v>
      </c>
      <c r="K238" s="13" t="s">
        <v>8</v>
      </c>
      <c r="L238" s="13" t="s">
        <v>8</v>
      </c>
      <c r="M238" s="13" t="s">
        <v>7</v>
      </c>
      <c r="N238" s="7">
        <f>IF(OR(Table2[[#This Row],[Jam Masuk]]="-",Table2[[#This Row],[Jam Pulang]]="-"),0,Table2[[#This Row],[Jam Pulang]]-Table2[[#This Row],[Jam Masuk]])</f>
        <v>0</v>
      </c>
    </row>
    <row r="239" spans="8:14" x14ac:dyDescent="0.25">
      <c r="H239" s="16" t="s">
        <v>51</v>
      </c>
      <c r="I239" s="13" t="s">
        <v>27</v>
      </c>
      <c r="J239" s="18" t="s">
        <v>28</v>
      </c>
      <c r="K239" s="13">
        <v>0.34513888888888888</v>
      </c>
      <c r="L239" s="13">
        <v>0.74513888888888891</v>
      </c>
      <c r="M239" s="13" t="s">
        <v>5</v>
      </c>
      <c r="N239" s="7">
        <f>IF(OR(Table2[[#This Row],[Jam Masuk]]="-",Table2[[#This Row],[Jam Pulang]]="-"),0,Table2[[#This Row],[Jam Pulang]]-Table2[[#This Row],[Jam Masuk]])</f>
        <v>0.4</v>
      </c>
    </row>
    <row r="240" spans="8:14" x14ac:dyDescent="0.25">
      <c r="H240" s="16" t="s">
        <v>51</v>
      </c>
      <c r="I240" s="13" t="s">
        <v>29</v>
      </c>
      <c r="J240" s="18" t="s">
        <v>9</v>
      </c>
      <c r="K240" s="13" t="s">
        <v>8</v>
      </c>
      <c r="L240" s="13" t="s">
        <v>8</v>
      </c>
      <c r="M240" s="13" t="s">
        <v>7</v>
      </c>
      <c r="N240" s="7">
        <f>IF(OR(Table2[[#This Row],[Jam Masuk]]="-",Table2[[#This Row],[Jam Pulang]]="-"),0,Table2[[#This Row],[Jam Pulang]]-Table2[[#This Row],[Jam Masuk]])</f>
        <v>0</v>
      </c>
    </row>
    <row r="241" spans="8:14" x14ac:dyDescent="0.25">
      <c r="H241" s="16" t="s">
        <v>51</v>
      </c>
      <c r="I241" s="13" t="s">
        <v>30</v>
      </c>
      <c r="J241" s="18" t="s">
        <v>31</v>
      </c>
      <c r="K241" s="13" t="s">
        <v>8</v>
      </c>
      <c r="L241" s="13" t="s">
        <v>8</v>
      </c>
      <c r="M241" s="13" t="s">
        <v>10</v>
      </c>
      <c r="N241" s="7">
        <f>IF(OR(Table2[[#This Row],[Jam Masuk]]="-",Table2[[#This Row],[Jam Pulang]]="-"),0,Table2[[#This Row],[Jam Pulang]]-Table2[[#This Row],[Jam Masuk]])</f>
        <v>0</v>
      </c>
    </row>
    <row r="242" spans="8:14" x14ac:dyDescent="0.25">
      <c r="H242" s="16" t="s">
        <v>51</v>
      </c>
      <c r="I242" s="13" t="s">
        <v>32</v>
      </c>
      <c r="J242" s="18" t="s">
        <v>33</v>
      </c>
      <c r="K242" s="13" t="s">
        <v>8</v>
      </c>
      <c r="L242" s="13" t="s">
        <v>8</v>
      </c>
      <c r="M242" s="13" t="s">
        <v>10</v>
      </c>
      <c r="N242" s="7">
        <f>IF(OR(Table2[[#This Row],[Jam Masuk]]="-",Table2[[#This Row],[Jam Pulang]]="-"),0,Table2[[#This Row],[Jam Pulang]]-Table2[[#This Row],[Jam Masuk]])</f>
        <v>0</v>
      </c>
    </row>
    <row r="243" spans="8:14" x14ac:dyDescent="0.25">
      <c r="H243" s="16" t="s">
        <v>51</v>
      </c>
      <c r="I243" s="13" t="s">
        <v>34</v>
      </c>
      <c r="J243" s="18" t="s">
        <v>35</v>
      </c>
      <c r="K243" s="13" t="s">
        <v>8</v>
      </c>
      <c r="L243" s="13" t="s">
        <v>8</v>
      </c>
      <c r="M243" s="13" t="s">
        <v>10</v>
      </c>
      <c r="N243" s="7">
        <f>IF(OR(Table2[[#This Row],[Jam Masuk]]="-",Table2[[#This Row],[Jam Pulang]]="-"),0,Table2[[#This Row],[Jam Pulang]]-Table2[[#This Row],[Jam Masuk]])</f>
        <v>0</v>
      </c>
    </row>
    <row r="244" spans="8:14" x14ac:dyDescent="0.25">
      <c r="H244" s="16" t="s">
        <v>51</v>
      </c>
      <c r="I244" s="13" t="s">
        <v>36</v>
      </c>
      <c r="J244" s="18" t="s">
        <v>37</v>
      </c>
      <c r="K244" s="13">
        <v>0.35486111111111113</v>
      </c>
      <c r="L244" s="13">
        <v>0.71597222222222223</v>
      </c>
      <c r="M244" s="13" t="s">
        <v>5</v>
      </c>
      <c r="N244" s="7">
        <f>IF(OR(Table2[[#This Row],[Jam Masuk]]="-",Table2[[#This Row],[Jam Pulang]]="-"),0,Table2[[#This Row],[Jam Pulang]]-Table2[[#This Row],[Jam Masuk]])</f>
        <v>0.3611111111111111</v>
      </c>
    </row>
    <row r="245" spans="8:14" x14ac:dyDescent="0.25">
      <c r="H245" s="16" t="s">
        <v>51</v>
      </c>
      <c r="I245" s="13" t="s">
        <v>38</v>
      </c>
      <c r="J245" s="18" t="s">
        <v>39</v>
      </c>
      <c r="K245" s="13" t="s">
        <v>8</v>
      </c>
      <c r="L245" s="13" t="s">
        <v>8</v>
      </c>
      <c r="M245" s="13" t="s">
        <v>7</v>
      </c>
      <c r="N245" s="7">
        <f>IF(OR(Table2[[#This Row],[Jam Masuk]]="-",Table2[[#This Row],[Jam Pulang]]="-"),0,Table2[[#This Row],[Jam Pulang]]-Table2[[#This Row],[Jam Masuk]])</f>
        <v>0</v>
      </c>
    </row>
    <row r="246" spans="8:14" x14ac:dyDescent="0.25">
      <c r="H246" s="16" t="s">
        <v>51</v>
      </c>
      <c r="I246" s="13" t="s">
        <v>40</v>
      </c>
      <c r="J246" s="18" t="s">
        <v>41</v>
      </c>
      <c r="K246" s="13" t="s">
        <v>8</v>
      </c>
      <c r="L246" s="13" t="s">
        <v>8</v>
      </c>
      <c r="M246" s="13" t="s">
        <v>10</v>
      </c>
      <c r="N246" s="7">
        <f>IF(OR(Table2[[#This Row],[Jam Masuk]]="-",Table2[[#This Row],[Jam Pulang]]="-"),0,Table2[[#This Row],[Jam Pulang]]-Table2[[#This Row],[Jam Masuk]])</f>
        <v>0</v>
      </c>
    </row>
    <row r="247" spans="8:14" x14ac:dyDescent="0.25">
      <c r="H247" s="16" t="s">
        <v>50</v>
      </c>
      <c r="I247" s="13" t="s">
        <v>25</v>
      </c>
      <c r="J247" s="18" t="s">
        <v>4</v>
      </c>
      <c r="K247" s="13" t="s">
        <v>8</v>
      </c>
      <c r="L247" s="13" t="s">
        <v>8</v>
      </c>
      <c r="M247" s="13" t="s">
        <v>7</v>
      </c>
      <c r="N247" s="7">
        <f>IF(OR(Table2[[#This Row],[Jam Masuk]]="-",Table2[[#This Row],[Jam Pulang]]="-"),0,Table2[[#This Row],[Jam Pulang]]-Table2[[#This Row],[Jam Masuk]])</f>
        <v>0</v>
      </c>
    </row>
    <row r="248" spans="8:14" x14ac:dyDescent="0.25">
      <c r="H248" s="16" t="s">
        <v>50</v>
      </c>
      <c r="I248" s="13" t="s">
        <v>26</v>
      </c>
      <c r="J248" s="18" t="s">
        <v>6</v>
      </c>
      <c r="K248" s="13" t="s">
        <v>8</v>
      </c>
      <c r="L248" s="13" t="s">
        <v>8</v>
      </c>
      <c r="M248" s="13" t="s">
        <v>42</v>
      </c>
      <c r="N248" s="7">
        <f>IF(OR(Table2[[#This Row],[Jam Masuk]]="-",Table2[[#This Row],[Jam Pulang]]="-"),0,Table2[[#This Row],[Jam Pulang]]-Table2[[#This Row],[Jam Masuk]])</f>
        <v>0</v>
      </c>
    </row>
    <row r="249" spans="8:14" x14ac:dyDescent="0.25">
      <c r="H249" s="16" t="s">
        <v>50</v>
      </c>
      <c r="I249" s="13" t="s">
        <v>27</v>
      </c>
      <c r="J249" s="18" t="s">
        <v>28</v>
      </c>
      <c r="K249" s="13">
        <v>0.33402777777777776</v>
      </c>
      <c r="L249" s="13">
        <v>0.71944444444444444</v>
      </c>
      <c r="M249" s="13" t="s">
        <v>44</v>
      </c>
      <c r="N249" s="7">
        <f>IF(OR(Table2[[#This Row],[Jam Masuk]]="-",Table2[[#This Row],[Jam Pulang]]="-"),0,Table2[[#This Row],[Jam Pulang]]-Table2[[#This Row],[Jam Masuk]])</f>
        <v>0.38541666666666669</v>
      </c>
    </row>
    <row r="250" spans="8:14" x14ac:dyDescent="0.25">
      <c r="H250" s="16" t="s">
        <v>50</v>
      </c>
      <c r="I250" s="13" t="s">
        <v>29</v>
      </c>
      <c r="J250" s="18" t="s">
        <v>9</v>
      </c>
      <c r="K250" s="13" t="s">
        <v>8</v>
      </c>
      <c r="L250" s="13" t="s">
        <v>8</v>
      </c>
      <c r="M250" s="13" t="s">
        <v>10</v>
      </c>
      <c r="N250" s="7">
        <f>IF(OR(Table2[[#This Row],[Jam Masuk]]="-",Table2[[#This Row],[Jam Pulang]]="-"),0,Table2[[#This Row],[Jam Pulang]]-Table2[[#This Row],[Jam Masuk]])</f>
        <v>0</v>
      </c>
    </row>
    <row r="251" spans="8:14" x14ac:dyDescent="0.25">
      <c r="H251" s="16" t="s">
        <v>50</v>
      </c>
      <c r="I251" s="13" t="s">
        <v>30</v>
      </c>
      <c r="J251" s="18" t="s">
        <v>31</v>
      </c>
      <c r="K251" s="13" t="s">
        <v>8</v>
      </c>
      <c r="L251" s="13" t="s">
        <v>8</v>
      </c>
      <c r="M251" s="13" t="s">
        <v>42</v>
      </c>
      <c r="N251" s="7">
        <f>IF(OR(Table2[[#This Row],[Jam Masuk]]="-",Table2[[#This Row],[Jam Pulang]]="-"),0,Table2[[#This Row],[Jam Pulang]]-Table2[[#This Row],[Jam Masuk]])</f>
        <v>0</v>
      </c>
    </row>
    <row r="252" spans="8:14" x14ac:dyDescent="0.25">
      <c r="H252" s="16" t="s">
        <v>50</v>
      </c>
      <c r="I252" s="13" t="s">
        <v>32</v>
      </c>
      <c r="J252" s="18" t="s">
        <v>33</v>
      </c>
      <c r="K252" s="13" t="s">
        <v>8</v>
      </c>
      <c r="L252" s="13" t="s">
        <v>8</v>
      </c>
      <c r="M252" s="13" t="s">
        <v>10</v>
      </c>
      <c r="N252" s="7">
        <f>IF(OR(Table2[[#This Row],[Jam Masuk]]="-",Table2[[#This Row],[Jam Pulang]]="-"),0,Table2[[#This Row],[Jam Pulang]]-Table2[[#This Row],[Jam Masuk]])</f>
        <v>0</v>
      </c>
    </row>
    <row r="253" spans="8:14" x14ac:dyDescent="0.25">
      <c r="H253" s="16" t="s">
        <v>50</v>
      </c>
      <c r="I253" s="13" t="s">
        <v>34</v>
      </c>
      <c r="J253" s="18" t="s">
        <v>35</v>
      </c>
      <c r="K253" s="13">
        <v>0.3576388888888889</v>
      </c>
      <c r="L253" s="13">
        <v>0.71319444444444446</v>
      </c>
      <c r="M253" s="13" t="s">
        <v>5</v>
      </c>
      <c r="N253" s="7">
        <f>IF(OR(Table2[[#This Row],[Jam Masuk]]="-",Table2[[#This Row],[Jam Pulang]]="-"),0,Table2[[#This Row],[Jam Pulang]]-Table2[[#This Row],[Jam Masuk]])</f>
        <v>0.35555555555555557</v>
      </c>
    </row>
    <row r="254" spans="8:14" x14ac:dyDescent="0.25">
      <c r="H254" s="16" t="s">
        <v>50</v>
      </c>
      <c r="I254" s="13" t="s">
        <v>36</v>
      </c>
      <c r="J254" s="18" t="s">
        <v>37</v>
      </c>
      <c r="K254" s="13" t="s">
        <v>8</v>
      </c>
      <c r="L254" s="13" t="s">
        <v>8</v>
      </c>
      <c r="M254" s="13" t="s">
        <v>10</v>
      </c>
      <c r="N254" s="7">
        <f>IF(OR(Table2[[#This Row],[Jam Masuk]]="-",Table2[[#This Row],[Jam Pulang]]="-"),0,Table2[[#This Row],[Jam Pulang]]-Table2[[#This Row],[Jam Masuk]])</f>
        <v>0</v>
      </c>
    </row>
    <row r="255" spans="8:14" x14ac:dyDescent="0.25">
      <c r="H255" s="16" t="s">
        <v>50</v>
      </c>
      <c r="I255" s="13" t="s">
        <v>38</v>
      </c>
      <c r="J255" s="18" t="s">
        <v>39</v>
      </c>
      <c r="K255" s="13" t="s">
        <v>8</v>
      </c>
      <c r="L255" s="13" t="s">
        <v>8</v>
      </c>
      <c r="M255" s="13" t="s">
        <v>10</v>
      </c>
      <c r="N255" s="7">
        <f>IF(OR(Table2[[#This Row],[Jam Masuk]]="-",Table2[[#This Row],[Jam Pulang]]="-"),0,Table2[[#This Row],[Jam Pulang]]-Table2[[#This Row],[Jam Masuk]])</f>
        <v>0</v>
      </c>
    </row>
    <row r="256" spans="8:14" x14ac:dyDescent="0.25">
      <c r="H256" s="16" t="s">
        <v>50</v>
      </c>
      <c r="I256" s="13" t="s">
        <v>40</v>
      </c>
      <c r="J256" s="18" t="s">
        <v>41</v>
      </c>
      <c r="K256" s="13">
        <v>0.34166666666666667</v>
      </c>
      <c r="L256" s="13">
        <v>0.70902777777777781</v>
      </c>
      <c r="M256" s="13" t="s">
        <v>5</v>
      </c>
      <c r="N256" s="7">
        <f>IF(OR(Table2[[#This Row],[Jam Masuk]]="-",Table2[[#This Row],[Jam Pulang]]="-"),0,Table2[[#This Row],[Jam Pulang]]-Table2[[#This Row],[Jam Masuk]])</f>
        <v>0.36736111111111114</v>
      </c>
    </row>
    <row r="257" spans="8:14" x14ac:dyDescent="0.25">
      <c r="H257" s="16" t="s">
        <v>49</v>
      </c>
      <c r="I257" s="13" t="s">
        <v>25</v>
      </c>
      <c r="J257" s="18" t="s">
        <v>4</v>
      </c>
      <c r="K257" s="13" t="s">
        <v>8</v>
      </c>
      <c r="L257" s="13" t="s">
        <v>8</v>
      </c>
      <c r="M257" s="13" t="s">
        <v>7</v>
      </c>
      <c r="N257" s="7">
        <f>IF(OR(Table2[[#This Row],[Jam Masuk]]="-",Table2[[#This Row],[Jam Pulang]]="-"),0,Table2[[#This Row],[Jam Pulang]]-Table2[[#This Row],[Jam Masuk]])</f>
        <v>0</v>
      </c>
    </row>
    <row r="258" spans="8:14" x14ac:dyDescent="0.25">
      <c r="H258" s="16" t="s">
        <v>49</v>
      </c>
      <c r="I258" s="13" t="s">
        <v>26</v>
      </c>
      <c r="J258" s="18" t="s">
        <v>6</v>
      </c>
      <c r="K258" s="13">
        <v>0.37013888888888891</v>
      </c>
      <c r="L258" s="13">
        <v>0.71736111111111112</v>
      </c>
      <c r="M258" s="13" t="s">
        <v>44</v>
      </c>
      <c r="N258" s="7">
        <f>IF(OR(Table2[[#This Row],[Jam Masuk]]="-",Table2[[#This Row],[Jam Pulang]]="-"),0,Table2[[#This Row],[Jam Pulang]]-Table2[[#This Row],[Jam Masuk]])</f>
        <v>0.34722222222222221</v>
      </c>
    </row>
    <row r="259" spans="8:14" x14ac:dyDescent="0.25">
      <c r="H259" s="16" t="s">
        <v>49</v>
      </c>
      <c r="I259" s="13" t="s">
        <v>27</v>
      </c>
      <c r="J259" s="18" t="s">
        <v>28</v>
      </c>
      <c r="K259" s="13" t="s">
        <v>8</v>
      </c>
      <c r="L259" s="13" t="s">
        <v>8</v>
      </c>
      <c r="M259" s="13" t="s">
        <v>10</v>
      </c>
      <c r="N259" s="7">
        <f>IF(OR(Table2[[#This Row],[Jam Masuk]]="-",Table2[[#This Row],[Jam Pulang]]="-"),0,Table2[[#This Row],[Jam Pulang]]-Table2[[#This Row],[Jam Masuk]])</f>
        <v>0</v>
      </c>
    </row>
    <row r="260" spans="8:14" x14ac:dyDescent="0.25">
      <c r="H260" s="16" t="s">
        <v>49</v>
      </c>
      <c r="I260" s="13" t="s">
        <v>29</v>
      </c>
      <c r="J260" s="18" t="s">
        <v>9</v>
      </c>
      <c r="K260" s="13" t="s">
        <v>8</v>
      </c>
      <c r="L260" s="13" t="s">
        <v>8</v>
      </c>
      <c r="M260" s="13" t="s">
        <v>42</v>
      </c>
      <c r="N260" s="7">
        <f>IF(OR(Table2[[#This Row],[Jam Masuk]]="-",Table2[[#This Row],[Jam Pulang]]="-"),0,Table2[[#This Row],[Jam Pulang]]-Table2[[#This Row],[Jam Masuk]])</f>
        <v>0</v>
      </c>
    </row>
    <row r="261" spans="8:14" x14ac:dyDescent="0.25">
      <c r="H261" s="16" t="s">
        <v>49</v>
      </c>
      <c r="I261" s="13" t="s">
        <v>30</v>
      </c>
      <c r="J261" s="18" t="s">
        <v>31</v>
      </c>
      <c r="K261" s="13" t="s">
        <v>8</v>
      </c>
      <c r="L261" s="13" t="s">
        <v>8</v>
      </c>
      <c r="M261" s="13" t="s">
        <v>42</v>
      </c>
      <c r="N261" s="7">
        <f>IF(OR(Table2[[#This Row],[Jam Masuk]]="-",Table2[[#This Row],[Jam Pulang]]="-"),0,Table2[[#This Row],[Jam Pulang]]-Table2[[#This Row],[Jam Masuk]])</f>
        <v>0</v>
      </c>
    </row>
    <row r="262" spans="8:14" x14ac:dyDescent="0.25">
      <c r="H262" s="16" t="s">
        <v>49</v>
      </c>
      <c r="I262" s="13" t="s">
        <v>32</v>
      </c>
      <c r="J262" s="18" t="s">
        <v>33</v>
      </c>
      <c r="K262" s="13" t="s">
        <v>8</v>
      </c>
      <c r="L262" s="13" t="s">
        <v>8</v>
      </c>
      <c r="M262" s="13" t="s">
        <v>42</v>
      </c>
      <c r="N262" s="7">
        <f>IF(OR(Table2[[#This Row],[Jam Masuk]]="-",Table2[[#This Row],[Jam Pulang]]="-"),0,Table2[[#This Row],[Jam Pulang]]-Table2[[#This Row],[Jam Masuk]])</f>
        <v>0</v>
      </c>
    </row>
    <row r="263" spans="8:14" x14ac:dyDescent="0.25">
      <c r="H263" s="16" t="s">
        <v>49</v>
      </c>
      <c r="I263" s="13" t="s">
        <v>34</v>
      </c>
      <c r="J263" s="18" t="s">
        <v>35</v>
      </c>
      <c r="K263" s="13">
        <v>0.36805555555555558</v>
      </c>
      <c r="L263" s="13">
        <v>0.7416666666666667</v>
      </c>
      <c r="M263" s="13" t="s">
        <v>44</v>
      </c>
      <c r="N263" s="7">
        <f>IF(OR(Table2[[#This Row],[Jam Masuk]]="-",Table2[[#This Row],[Jam Pulang]]="-"),0,Table2[[#This Row],[Jam Pulang]]-Table2[[#This Row],[Jam Masuk]])</f>
        <v>0.37361111111111112</v>
      </c>
    </row>
    <row r="264" spans="8:14" x14ac:dyDescent="0.25">
      <c r="H264" s="16" t="s">
        <v>49</v>
      </c>
      <c r="I264" s="13" t="s">
        <v>36</v>
      </c>
      <c r="J264" s="18" t="s">
        <v>37</v>
      </c>
      <c r="K264" s="13" t="s">
        <v>8</v>
      </c>
      <c r="L264" s="13" t="s">
        <v>8</v>
      </c>
      <c r="M264" s="13" t="s">
        <v>7</v>
      </c>
      <c r="N264" s="7">
        <f>IF(OR(Table2[[#This Row],[Jam Masuk]]="-",Table2[[#This Row],[Jam Pulang]]="-"),0,Table2[[#This Row],[Jam Pulang]]-Table2[[#This Row],[Jam Masuk]])</f>
        <v>0</v>
      </c>
    </row>
    <row r="265" spans="8:14" x14ac:dyDescent="0.25">
      <c r="H265" s="16" t="s">
        <v>49</v>
      </c>
      <c r="I265" s="13" t="s">
        <v>38</v>
      </c>
      <c r="J265" s="18" t="s">
        <v>39</v>
      </c>
      <c r="K265" s="13" t="s">
        <v>8</v>
      </c>
      <c r="L265" s="13" t="s">
        <v>8</v>
      </c>
      <c r="M265" s="13" t="s">
        <v>7</v>
      </c>
      <c r="N265" s="7">
        <f>IF(OR(Table2[[#This Row],[Jam Masuk]]="-",Table2[[#This Row],[Jam Pulang]]="-"),0,Table2[[#This Row],[Jam Pulang]]-Table2[[#This Row],[Jam Masuk]])</f>
        <v>0</v>
      </c>
    </row>
    <row r="266" spans="8:14" x14ac:dyDescent="0.25">
      <c r="H266" s="16" t="s">
        <v>49</v>
      </c>
      <c r="I266" s="13" t="s">
        <v>40</v>
      </c>
      <c r="J266" s="18" t="s">
        <v>41</v>
      </c>
      <c r="K266" s="13" t="s">
        <v>8</v>
      </c>
      <c r="L266" s="13" t="s">
        <v>8</v>
      </c>
      <c r="M266" s="13" t="s">
        <v>42</v>
      </c>
      <c r="N266" s="7">
        <f>IF(OR(Table2[[#This Row],[Jam Masuk]]="-",Table2[[#This Row],[Jam Pulang]]="-"),0,Table2[[#This Row],[Jam Pulang]]-Table2[[#This Row],[Jam Masuk]])</f>
        <v>0</v>
      </c>
    </row>
    <row r="267" spans="8:14" x14ac:dyDescent="0.25">
      <c r="H267" s="16" t="s">
        <v>48</v>
      </c>
      <c r="I267" s="13" t="s">
        <v>25</v>
      </c>
      <c r="J267" s="18" t="s">
        <v>4</v>
      </c>
      <c r="K267" s="13">
        <v>0.34722222222222221</v>
      </c>
      <c r="L267" s="13">
        <v>0.74652777777777779</v>
      </c>
      <c r="M267" s="13" t="s">
        <v>44</v>
      </c>
      <c r="N267" s="7">
        <f>IF(OR(Table2[[#This Row],[Jam Masuk]]="-",Table2[[#This Row],[Jam Pulang]]="-"),0,Table2[[#This Row],[Jam Pulang]]-Table2[[#This Row],[Jam Masuk]])</f>
        <v>0.39930555555555558</v>
      </c>
    </row>
    <row r="268" spans="8:14" x14ac:dyDescent="0.25">
      <c r="H268" s="16" t="s">
        <v>48</v>
      </c>
      <c r="I268" s="13" t="s">
        <v>26</v>
      </c>
      <c r="J268" s="18" t="s">
        <v>6</v>
      </c>
      <c r="K268" s="13">
        <v>0.36736111111111114</v>
      </c>
      <c r="L268" s="13">
        <v>0.73888888888888893</v>
      </c>
      <c r="M268" s="13" t="s">
        <v>5</v>
      </c>
      <c r="N268" s="7">
        <f>IF(OR(Table2[[#This Row],[Jam Masuk]]="-",Table2[[#This Row],[Jam Pulang]]="-"),0,Table2[[#This Row],[Jam Pulang]]-Table2[[#This Row],[Jam Masuk]])</f>
        <v>0.37152777777777779</v>
      </c>
    </row>
    <row r="269" spans="8:14" x14ac:dyDescent="0.25">
      <c r="H269" s="16" t="s">
        <v>48</v>
      </c>
      <c r="I269" s="13" t="s">
        <v>27</v>
      </c>
      <c r="J269" s="18" t="s">
        <v>28</v>
      </c>
      <c r="K269" s="13" t="s">
        <v>8</v>
      </c>
      <c r="L269" s="13" t="s">
        <v>8</v>
      </c>
      <c r="M269" s="13" t="s">
        <v>7</v>
      </c>
      <c r="N269" s="7">
        <f>IF(OR(Table2[[#This Row],[Jam Masuk]]="-",Table2[[#This Row],[Jam Pulang]]="-"),0,Table2[[#This Row],[Jam Pulang]]-Table2[[#This Row],[Jam Masuk]])</f>
        <v>0</v>
      </c>
    </row>
    <row r="270" spans="8:14" x14ac:dyDescent="0.25">
      <c r="H270" s="16" t="s">
        <v>48</v>
      </c>
      <c r="I270" s="13" t="s">
        <v>29</v>
      </c>
      <c r="J270" s="18" t="s">
        <v>9</v>
      </c>
      <c r="K270" s="13">
        <v>0.37152777777777779</v>
      </c>
      <c r="L270" s="13">
        <v>0.72361111111111109</v>
      </c>
      <c r="M270" s="13" t="s">
        <v>5</v>
      </c>
      <c r="N270" s="7">
        <f>IF(OR(Table2[[#This Row],[Jam Masuk]]="-",Table2[[#This Row],[Jam Pulang]]="-"),0,Table2[[#This Row],[Jam Pulang]]-Table2[[#This Row],[Jam Masuk]])</f>
        <v>0.3520833333333333</v>
      </c>
    </row>
    <row r="271" spans="8:14" x14ac:dyDescent="0.25">
      <c r="H271" s="16" t="s">
        <v>48</v>
      </c>
      <c r="I271" s="13" t="s">
        <v>30</v>
      </c>
      <c r="J271" s="18" t="s">
        <v>31</v>
      </c>
      <c r="K271" s="13">
        <v>0.34652777777777777</v>
      </c>
      <c r="L271" s="13">
        <v>0.72986111111111107</v>
      </c>
      <c r="M271" s="13" t="s">
        <v>44</v>
      </c>
      <c r="N271" s="7">
        <f>IF(OR(Table2[[#This Row],[Jam Masuk]]="-",Table2[[#This Row],[Jam Pulang]]="-"),0,Table2[[#This Row],[Jam Pulang]]-Table2[[#This Row],[Jam Masuk]])</f>
        <v>0.3833333333333333</v>
      </c>
    </row>
    <row r="272" spans="8:14" x14ac:dyDescent="0.25">
      <c r="H272" s="16" t="s">
        <v>48</v>
      </c>
      <c r="I272" s="13" t="s">
        <v>32</v>
      </c>
      <c r="J272" s="18" t="s">
        <v>33</v>
      </c>
      <c r="K272" s="13">
        <v>0.3347222222222222</v>
      </c>
      <c r="L272" s="13">
        <v>0.72430555555555554</v>
      </c>
      <c r="M272" s="13" t="s">
        <v>5</v>
      </c>
      <c r="N272" s="7">
        <f>IF(OR(Table2[[#This Row],[Jam Masuk]]="-",Table2[[#This Row],[Jam Pulang]]="-"),0,Table2[[#This Row],[Jam Pulang]]-Table2[[#This Row],[Jam Masuk]])</f>
        <v>0.38958333333333334</v>
      </c>
    </row>
    <row r="273" spans="8:14" x14ac:dyDescent="0.25">
      <c r="H273" s="16" t="s">
        <v>48</v>
      </c>
      <c r="I273" s="13" t="s">
        <v>34</v>
      </c>
      <c r="J273" s="18" t="s">
        <v>35</v>
      </c>
      <c r="K273" s="13" t="s">
        <v>8</v>
      </c>
      <c r="L273" s="13" t="s">
        <v>8</v>
      </c>
      <c r="M273" s="13" t="s">
        <v>10</v>
      </c>
      <c r="N273" s="7">
        <f>IF(OR(Table2[[#This Row],[Jam Masuk]]="-",Table2[[#This Row],[Jam Pulang]]="-"),0,Table2[[#This Row],[Jam Pulang]]-Table2[[#This Row],[Jam Masuk]])</f>
        <v>0</v>
      </c>
    </row>
    <row r="274" spans="8:14" x14ac:dyDescent="0.25">
      <c r="H274" s="16" t="s">
        <v>48</v>
      </c>
      <c r="I274" s="13" t="s">
        <v>36</v>
      </c>
      <c r="J274" s="18" t="s">
        <v>37</v>
      </c>
      <c r="K274" s="13" t="s">
        <v>8</v>
      </c>
      <c r="L274" s="13" t="s">
        <v>8</v>
      </c>
      <c r="M274" s="13" t="s">
        <v>42</v>
      </c>
      <c r="N274" s="7">
        <f>IF(OR(Table2[[#This Row],[Jam Masuk]]="-",Table2[[#This Row],[Jam Pulang]]="-"),0,Table2[[#This Row],[Jam Pulang]]-Table2[[#This Row],[Jam Masuk]])</f>
        <v>0</v>
      </c>
    </row>
    <row r="275" spans="8:14" x14ac:dyDescent="0.25">
      <c r="H275" s="16" t="s">
        <v>48</v>
      </c>
      <c r="I275" s="13" t="s">
        <v>38</v>
      </c>
      <c r="J275" s="18" t="s">
        <v>39</v>
      </c>
      <c r="K275" s="13" t="s">
        <v>8</v>
      </c>
      <c r="L275" s="13" t="s">
        <v>8</v>
      </c>
      <c r="M275" s="13" t="s">
        <v>7</v>
      </c>
      <c r="N275" s="7">
        <f>IF(OR(Table2[[#This Row],[Jam Masuk]]="-",Table2[[#This Row],[Jam Pulang]]="-"),0,Table2[[#This Row],[Jam Pulang]]-Table2[[#This Row],[Jam Masuk]])</f>
        <v>0</v>
      </c>
    </row>
    <row r="276" spans="8:14" x14ac:dyDescent="0.25">
      <c r="H276" s="16" t="s">
        <v>48</v>
      </c>
      <c r="I276" s="13" t="s">
        <v>40</v>
      </c>
      <c r="J276" s="18" t="s">
        <v>41</v>
      </c>
      <c r="K276" s="13" t="s">
        <v>8</v>
      </c>
      <c r="L276" s="13" t="s">
        <v>8</v>
      </c>
      <c r="M276" s="13" t="s">
        <v>42</v>
      </c>
      <c r="N276" s="7">
        <f>IF(OR(Table2[[#This Row],[Jam Masuk]]="-",Table2[[#This Row],[Jam Pulang]]="-"),0,Table2[[#This Row],[Jam Pulang]]-Table2[[#This Row],[Jam Masuk]])</f>
        <v>0</v>
      </c>
    </row>
    <row r="277" spans="8:14" x14ac:dyDescent="0.25">
      <c r="H277" s="16" t="s">
        <v>47</v>
      </c>
      <c r="I277" s="13" t="s">
        <v>25</v>
      </c>
      <c r="J277" s="18" t="s">
        <v>4</v>
      </c>
      <c r="K277" s="13" t="s">
        <v>8</v>
      </c>
      <c r="L277" s="13" t="s">
        <v>8</v>
      </c>
      <c r="M277" s="13" t="s">
        <v>10</v>
      </c>
      <c r="N277" s="7">
        <f>IF(OR(Table2[[#This Row],[Jam Masuk]]="-",Table2[[#This Row],[Jam Pulang]]="-"),0,Table2[[#This Row],[Jam Pulang]]-Table2[[#This Row],[Jam Masuk]])</f>
        <v>0</v>
      </c>
    </row>
    <row r="278" spans="8:14" x14ac:dyDescent="0.25">
      <c r="H278" s="16" t="s">
        <v>47</v>
      </c>
      <c r="I278" s="13" t="s">
        <v>26</v>
      </c>
      <c r="J278" s="18" t="s">
        <v>6</v>
      </c>
      <c r="K278" s="13" t="s">
        <v>8</v>
      </c>
      <c r="L278" s="13" t="s">
        <v>8</v>
      </c>
      <c r="M278" s="13" t="s">
        <v>42</v>
      </c>
      <c r="N278" s="7">
        <f>IF(OR(Table2[[#This Row],[Jam Masuk]]="-",Table2[[#This Row],[Jam Pulang]]="-"),0,Table2[[#This Row],[Jam Pulang]]-Table2[[#This Row],[Jam Masuk]])</f>
        <v>0</v>
      </c>
    </row>
    <row r="279" spans="8:14" x14ac:dyDescent="0.25">
      <c r="H279" s="16" t="s">
        <v>47</v>
      </c>
      <c r="I279" s="13" t="s">
        <v>27</v>
      </c>
      <c r="J279" s="18" t="s">
        <v>28</v>
      </c>
      <c r="K279" s="13">
        <v>0.35555555555555557</v>
      </c>
      <c r="L279" s="13">
        <v>0.71944444444444444</v>
      </c>
      <c r="M279" s="13" t="s">
        <v>44</v>
      </c>
      <c r="N279" s="7">
        <f>IF(OR(Table2[[#This Row],[Jam Masuk]]="-",Table2[[#This Row],[Jam Pulang]]="-"),0,Table2[[#This Row],[Jam Pulang]]-Table2[[#This Row],[Jam Masuk]])</f>
        <v>0.36388888888888887</v>
      </c>
    </row>
    <row r="280" spans="8:14" x14ac:dyDescent="0.25">
      <c r="H280" s="16" t="s">
        <v>47</v>
      </c>
      <c r="I280" s="13" t="s">
        <v>29</v>
      </c>
      <c r="J280" s="18" t="s">
        <v>9</v>
      </c>
      <c r="K280" s="13" t="s">
        <v>8</v>
      </c>
      <c r="L280" s="13" t="s">
        <v>8</v>
      </c>
      <c r="M280" s="13" t="s">
        <v>42</v>
      </c>
      <c r="N280" s="7">
        <f>IF(OR(Table2[[#This Row],[Jam Masuk]]="-",Table2[[#This Row],[Jam Pulang]]="-"),0,Table2[[#This Row],[Jam Pulang]]-Table2[[#This Row],[Jam Masuk]])</f>
        <v>0</v>
      </c>
    </row>
    <row r="281" spans="8:14" x14ac:dyDescent="0.25">
      <c r="H281" s="16" t="s">
        <v>47</v>
      </c>
      <c r="I281" s="13" t="s">
        <v>30</v>
      </c>
      <c r="J281" s="18" t="s">
        <v>31</v>
      </c>
      <c r="K281" s="13" t="s">
        <v>8</v>
      </c>
      <c r="L281" s="13" t="s">
        <v>8</v>
      </c>
      <c r="M281" s="13" t="s">
        <v>10</v>
      </c>
      <c r="N281" s="7">
        <f>IF(OR(Table2[[#This Row],[Jam Masuk]]="-",Table2[[#This Row],[Jam Pulang]]="-"),0,Table2[[#This Row],[Jam Pulang]]-Table2[[#This Row],[Jam Masuk]])</f>
        <v>0</v>
      </c>
    </row>
    <row r="282" spans="8:14" x14ac:dyDescent="0.25">
      <c r="H282" s="16" t="s">
        <v>47</v>
      </c>
      <c r="I282" s="13" t="s">
        <v>32</v>
      </c>
      <c r="J282" s="18" t="s">
        <v>33</v>
      </c>
      <c r="K282" s="13" t="s">
        <v>8</v>
      </c>
      <c r="L282" s="13" t="s">
        <v>8</v>
      </c>
      <c r="M282" s="13" t="s">
        <v>10</v>
      </c>
      <c r="N282" s="7">
        <f>IF(OR(Table2[[#This Row],[Jam Masuk]]="-",Table2[[#This Row],[Jam Pulang]]="-"),0,Table2[[#This Row],[Jam Pulang]]-Table2[[#This Row],[Jam Masuk]])</f>
        <v>0</v>
      </c>
    </row>
    <row r="283" spans="8:14" x14ac:dyDescent="0.25">
      <c r="H283" s="16" t="s">
        <v>47</v>
      </c>
      <c r="I283" s="13" t="s">
        <v>34</v>
      </c>
      <c r="J283" s="18" t="s">
        <v>35</v>
      </c>
      <c r="K283" s="13" t="s">
        <v>8</v>
      </c>
      <c r="L283" s="13" t="s">
        <v>8</v>
      </c>
      <c r="M283" s="13" t="s">
        <v>7</v>
      </c>
      <c r="N283" s="7">
        <f>IF(OR(Table2[[#This Row],[Jam Masuk]]="-",Table2[[#This Row],[Jam Pulang]]="-"),0,Table2[[#This Row],[Jam Pulang]]-Table2[[#This Row],[Jam Masuk]])</f>
        <v>0</v>
      </c>
    </row>
    <row r="284" spans="8:14" x14ac:dyDescent="0.25">
      <c r="H284" s="16" t="s">
        <v>47</v>
      </c>
      <c r="I284" s="13" t="s">
        <v>36</v>
      </c>
      <c r="J284" s="18" t="s">
        <v>37</v>
      </c>
      <c r="K284" s="13" t="s">
        <v>8</v>
      </c>
      <c r="L284" s="13" t="s">
        <v>8</v>
      </c>
      <c r="M284" s="13" t="s">
        <v>10</v>
      </c>
      <c r="N284" s="7">
        <f>IF(OR(Table2[[#This Row],[Jam Masuk]]="-",Table2[[#This Row],[Jam Pulang]]="-"),0,Table2[[#This Row],[Jam Pulang]]-Table2[[#This Row],[Jam Masuk]])</f>
        <v>0</v>
      </c>
    </row>
    <row r="285" spans="8:14" x14ac:dyDescent="0.25">
      <c r="H285" s="16" t="s">
        <v>47</v>
      </c>
      <c r="I285" s="13" t="s">
        <v>38</v>
      </c>
      <c r="J285" s="18" t="s">
        <v>39</v>
      </c>
      <c r="K285" s="13" t="s">
        <v>8</v>
      </c>
      <c r="L285" s="13" t="s">
        <v>8</v>
      </c>
      <c r="M285" s="13" t="s">
        <v>10</v>
      </c>
      <c r="N285" s="7">
        <f>IF(OR(Table2[[#This Row],[Jam Masuk]]="-",Table2[[#This Row],[Jam Pulang]]="-"),0,Table2[[#This Row],[Jam Pulang]]-Table2[[#This Row],[Jam Masuk]])</f>
        <v>0</v>
      </c>
    </row>
    <row r="286" spans="8:14" x14ac:dyDescent="0.25">
      <c r="H286" s="16" t="s">
        <v>47</v>
      </c>
      <c r="I286" s="13" t="s">
        <v>40</v>
      </c>
      <c r="J286" s="18" t="s">
        <v>41</v>
      </c>
      <c r="K286" s="13" t="s">
        <v>8</v>
      </c>
      <c r="L286" s="13" t="s">
        <v>8</v>
      </c>
      <c r="M286" s="13" t="s">
        <v>10</v>
      </c>
      <c r="N286" s="7">
        <f>IF(OR(Table2[[#This Row],[Jam Masuk]]="-",Table2[[#This Row],[Jam Pulang]]="-"),0,Table2[[#This Row],[Jam Pulang]]-Table2[[#This Row],[Jam Masuk]])</f>
        <v>0</v>
      </c>
    </row>
    <row r="287" spans="8:14" x14ac:dyDescent="0.25">
      <c r="H287" s="16" t="s">
        <v>46</v>
      </c>
      <c r="I287" s="13" t="s">
        <v>25</v>
      </c>
      <c r="J287" s="18" t="s">
        <v>4</v>
      </c>
      <c r="K287" s="13">
        <v>0.34722222222222221</v>
      </c>
      <c r="L287" s="13">
        <v>0.70833333333333337</v>
      </c>
      <c r="M287" s="13" t="s">
        <v>5</v>
      </c>
      <c r="N287" s="7">
        <f>IF(OR(Table2[[#This Row],[Jam Masuk]]="-",Table2[[#This Row],[Jam Pulang]]="-"),0,Table2[[#This Row],[Jam Pulang]]-Table2[[#This Row],[Jam Masuk]])</f>
        <v>0.36111111111111116</v>
      </c>
    </row>
    <row r="288" spans="8:14" x14ac:dyDescent="0.25">
      <c r="H288" s="16" t="s">
        <v>46</v>
      </c>
      <c r="I288" s="13" t="s">
        <v>26</v>
      </c>
      <c r="J288" s="18" t="s">
        <v>6</v>
      </c>
      <c r="K288" s="13" t="s">
        <v>8</v>
      </c>
      <c r="L288" s="13" t="s">
        <v>8</v>
      </c>
      <c r="M288" s="13" t="s">
        <v>7</v>
      </c>
      <c r="N288" s="7">
        <f>IF(OR(Table2[[#This Row],[Jam Masuk]]="-",Table2[[#This Row],[Jam Pulang]]="-"),0,Table2[[#This Row],[Jam Pulang]]-Table2[[#This Row],[Jam Masuk]])</f>
        <v>0</v>
      </c>
    </row>
    <row r="289" spans="8:14" x14ac:dyDescent="0.25">
      <c r="H289" s="16" t="s">
        <v>46</v>
      </c>
      <c r="I289" s="13" t="s">
        <v>27</v>
      </c>
      <c r="J289" s="18" t="s">
        <v>28</v>
      </c>
      <c r="K289" s="13" t="s">
        <v>8</v>
      </c>
      <c r="L289" s="13" t="s">
        <v>8</v>
      </c>
      <c r="M289" s="13" t="s">
        <v>10</v>
      </c>
      <c r="N289" s="7">
        <f>IF(OR(Table2[[#This Row],[Jam Masuk]]="-",Table2[[#This Row],[Jam Pulang]]="-"),0,Table2[[#This Row],[Jam Pulang]]-Table2[[#This Row],[Jam Masuk]])</f>
        <v>0</v>
      </c>
    </row>
    <row r="290" spans="8:14" x14ac:dyDescent="0.25">
      <c r="H290" s="16" t="s">
        <v>46</v>
      </c>
      <c r="I290" s="13" t="s">
        <v>29</v>
      </c>
      <c r="J290" s="18" t="s">
        <v>9</v>
      </c>
      <c r="K290" s="13">
        <v>0.37430555555555556</v>
      </c>
      <c r="L290" s="13">
        <v>0.7270833333333333</v>
      </c>
      <c r="M290" s="13" t="s">
        <v>5</v>
      </c>
      <c r="N290" s="7">
        <f>IF(OR(Table2[[#This Row],[Jam Masuk]]="-",Table2[[#This Row],[Jam Pulang]]="-"),0,Table2[[#This Row],[Jam Pulang]]-Table2[[#This Row],[Jam Masuk]])</f>
        <v>0.35277777777777775</v>
      </c>
    </row>
    <row r="291" spans="8:14" x14ac:dyDescent="0.25">
      <c r="H291" s="16" t="s">
        <v>46</v>
      </c>
      <c r="I291" s="13" t="s">
        <v>30</v>
      </c>
      <c r="J291" s="18" t="s">
        <v>31</v>
      </c>
      <c r="K291" s="13" t="s">
        <v>8</v>
      </c>
      <c r="L291" s="13" t="s">
        <v>8</v>
      </c>
      <c r="M291" s="13" t="s">
        <v>42</v>
      </c>
      <c r="N291" s="7">
        <f>IF(OR(Table2[[#This Row],[Jam Masuk]]="-",Table2[[#This Row],[Jam Pulang]]="-"),0,Table2[[#This Row],[Jam Pulang]]-Table2[[#This Row],[Jam Masuk]])</f>
        <v>0</v>
      </c>
    </row>
    <row r="292" spans="8:14" x14ac:dyDescent="0.25">
      <c r="H292" s="16" t="s">
        <v>46</v>
      </c>
      <c r="I292" s="13" t="s">
        <v>32</v>
      </c>
      <c r="J292" s="18" t="s">
        <v>33</v>
      </c>
      <c r="K292" s="13" t="s">
        <v>8</v>
      </c>
      <c r="L292" s="13" t="s">
        <v>8</v>
      </c>
      <c r="M292" s="13" t="s">
        <v>42</v>
      </c>
      <c r="N292" s="7">
        <f>IF(OR(Table2[[#This Row],[Jam Masuk]]="-",Table2[[#This Row],[Jam Pulang]]="-"),0,Table2[[#This Row],[Jam Pulang]]-Table2[[#This Row],[Jam Masuk]])</f>
        <v>0</v>
      </c>
    </row>
    <row r="293" spans="8:14" x14ac:dyDescent="0.25">
      <c r="H293" s="16" t="s">
        <v>46</v>
      </c>
      <c r="I293" s="13" t="s">
        <v>34</v>
      </c>
      <c r="J293" s="18" t="s">
        <v>35</v>
      </c>
      <c r="K293" s="13">
        <v>0.36180555555555555</v>
      </c>
      <c r="L293" s="13">
        <v>0.74027777777777781</v>
      </c>
      <c r="M293" s="13" t="s">
        <v>5</v>
      </c>
      <c r="N293" s="7">
        <f>IF(OR(Table2[[#This Row],[Jam Masuk]]="-",Table2[[#This Row],[Jam Pulang]]="-"),0,Table2[[#This Row],[Jam Pulang]]-Table2[[#This Row],[Jam Masuk]])</f>
        <v>0.37847222222222227</v>
      </c>
    </row>
    <row r="294" spans="8:14" x14ac:dyDescent="0.25">
      <c r="H294" s="16" t="s">
        <v>46</v>
      </c>
      <c r="I294" s="13" t="s">
        <v>36</v>
      </c>
      <c r="J294" s="18" t="s">
        <v>37</v>
      </c>
      <c r="K294" s="13" t="s">
        <v>8</v>
      </c>
      <c r="L294" s="13" t="s">
        <v>8</v>
      </c>
      <c r="M294" s="13" t="s">
        <v>42</v>
      </c>
      <c r="N294" s="7">
        <f>IF(OR(Table2[[#This Row],[Jam Masuk]]="-",Table2[[#This Row],[Jam Pulang]]="-"),0,Table2[[#This Row],[Jam Pulang]]-Table2[[#This Row],[Jam Masuk]])</f>
        <v>0</v>
      </c>
    </row>
    <row r="295" spans="8:14" x14ac:dyDescent="0.25">
      <c r="H295" s="16" t="s">
        <v>46</v>
      </c>
      <c r="I295" s="13" t="s">
        <v>38</v>
      </c>
      <c r="J295" s="18" t="s">
        <v>39</v>
      </c>
      <c r="K295" s="13" t="s">
        <v>8</v>
      </c>
      <c r="L295" s="13" t="s">
        <v>8</v>
      </c>
      <c r="M295" s="13" t="s">
        <v>42</v>
      </c>
      <c r="N295" s="7">
        <f>IF(OR(Table2[[#This Row],[Jam Masuk]]="-",Table2[[#This Row],[Jam Pulang]]="-"),0,Table2[[#This Row],[Jam Pulang]]-Table2[[#This Row],[Jam Masuk]])</f>
        <v>0</v>
      </c>
    </row>
    <row r="296" spans="8:14" x14ac:dyDescent="0.25">
      <c r="H296" s="16" t="s">
        <v>46</v>
      </c>
      <c r="I296" s="13" t="s">
        <v>40</v>
      </c>
      <c r="J296" s="18" t="s">
        <v>41</v>
      </c>
      <c r="K296" s="13" t="s">
        <v>8</v>
      </c>
      <c r="L296" s="13" t="s">
        <v>8</v>
      </c>
      <c r="M296" s="13" t="s">
        <v>42</v>
      </c>
      <c r="N296" s="7">
        <f>IF(OR(Table2[[#This Row],[Jam Masuk]]="-",Table2[[#This Row],[Jam Pulang]]="-"),0,Table2[[#This Row],[Jam Pulang]]-Table2[[#This Row],[Jam Masuk]])</f>
        <v>0</v>
      </c>
    </row>
    <row r="297" spans="8:14" x14ac:dyDescent="0.25">
      <c r="H297" s="16" t="s">
        <v>45</v>
      </c>
      <c r="I297" s="13" t="s">
        <v>25</v>
      </c>
      <c r="J297" s="18" t="s">
        <v>4</v>
      </c>
      <c r="K297" s="13" t="s">
        <v>8</v>
      </c>
      <c r="L297" s="13" t="s">
        <v>8</v>
      </c>
      <c r="M297" s="13" t="s">
        <v>42</v>
      </c>
      <c r="N297" s="7">
        <f>IF(OR(Table2[[#This Row],[Jam Masuk]]="-",Table2[[#This Row],[Jam Pulang]]="-"),0,Table2[[#This Row],[Jam Pulang]]-Table2[[#This Row],[Jam Masuk]])</f>
        <v>0</v>
      </c>
    </row>
    <row r="298" spans="8:14" x14ac:dyDescent="0.25">
      <c r="H298" s="16" t="s">
        <v>45</v>
      </c>
      <c r="I298" s="13" t="s">
        <v>26</v>
      </c>
      <c r="J298" s="18" t="s">
        <v>6</v>
      </c>
      <c r="K298" s="13" t="s">
        <v>8</v>
      </c>
      <c r="L298" s="13" t="s">
        <v>8</v>
      </c>
      <c r="M298" s="13" t="s">
        <v>7</v>
      </c>
      <c r="N298" s="7">
        <f>IF(OR(Table2[[#This Row],[Jam Masuk]]="-",Table2[[#This Row],[Jam Pulang]]="-"),0,Table2[[#This Row],[Jam Pulang]]-Table2[[#This Row],[Jam Masuk]])</f>
        <v>0</v>
      </c>
    </row>
    <row r="299" spans="8:14" x14ac:dyDescent="0.25">
      <c r="H299" s="16" t="s">
        <v>45</v>
      </c>
      <c r="I299" s="13" t="s">
        <v>27</v>
      </c>
      <c r="J299" s="18" t="s">
        <v>28</v>
      </c>
      <c r="K299" s="13">
        <v>0.37083333333333335</v>
      </c>
      <c r="L299" s="13">
        <v>0.74861111111111112</v>
      </c>
      <c r="M299" s="13" t="s">
        <v>44</v>
      </c>
      <c r="N299" s="7">
        <f>IF(OR(Table2[[#This Row],[Jam Masuk]]="-",Table2[[#This Row],[Jam Pulang]]="-"),0,Table2[[#This Row],[Jam Pulang]]-Table2[[#This Row],[Jam Masuk]])</f>
        <v>0.37777777777777777</v>
      </c>
    </row>
    <row r="300" spans="8:14" x14ac:dyDescent="0.25">
      <c r="H300" s="16" t="s">
        <v>45</v>
      </c>
      <c r="I300" s="13" t="s">
        <v>29</v>
      </c>
      <c r="J300" s="18" t="s">
        <v>9</v>
      </c>
      <c r="K300" s="13" t="s">
        <v>8</v>
      </c>
      <c r="L300" s="13" t="s">
        <v>8</v>
      </c>
      <c r="M300" s="13" t="s">
        <v>7</v>
      </c>
      <c r="N300" s="7">
        <f>IF(OR(Table2[[#This Row],[Jam Masuk]]="-",Table2[[#This Row],[Jam Pulang]]="-"),0,Table2[[#This Row],[Jam Pulang]]-Table2[[#This Row],[Jam Masuk]])</f>
        <v>0</v>
      </c>
    </row>
    <row r="301" spans="8:14" x14ac:dyDescent="0.25">
      <c r="H301" s="16" t="s">
        <v>45</v>
      </c>
      <c r="I301" s="13" t="s">
        <v>30</v>
      </c>
      <c r="J301" s="18" t="s">
        <v>31</v>
      </c>
      <c r="K301" s="13" t="s">
        <v>8</v>
      </c>
      <c r="L301" s="13" t="s">
        <v>8</v>
      </c>
      <c r="M301" s="13" t="s">
        <v>42</v>
      </c>
      <c r="N301" s="7">
        <f>IF(OR(Table2[[#This Row],[Jam Masuk]]="-",Table2[[#This Row],[Jam Pulang]]="-"),0,Table2[[#This Row],[Jam Pulang]]-Table2[[#This Row],[Jam Masuk]])</f>
        <v>0</v>
      </c>
    </row>
    <row r="302" spans="8:14" x14ac:dyDescent="0.25">
      <c r="H302" s="16" t="s">
        <v>45</v>
      </c>
      <c r="I302" s="13" t="s">
        <v>32</v>
      </c>
      <c r="J302" s="18" t="s">
        <v>33</v>
      </c>
      <c r="K302" s="13" t="s">
        <v>8</v>
      </c>
      <c r="L302" s="13" t="s">
        <v>8</v>
      </c>
      <c r="M302" s="13" t="s">
        <v>10</v>
      </c>
      <c r="N302" s="7">
        <f>IF(OR(Table2[[#This Row],[Jam Masuk]]="-",Table2[[#This Row],[Jam Pulang]]="-"),0,Table2[[#This Row],[Jam Pulang]]-Table2[[#This Row],[Jam Masuk]])</f>
        <v>0</v>
      </c>
    </row>
    <row r="303" spans="8:14" x14ac:dyDescent="0.25">
      <c r="H303" s="16" t="s">
        <v>45</v>
      </c>
      <c r="I303" s="13" t="s">
        <v>34</v>
      </c>
      <c r="J303" s="18" t="s">
        <v>35</v>
      </c>
      <c r="K303" s="13" t="s">
        <v>8</v>
      </c>
      <c r="L303" s="13" t="s">
        <v>8</v>
      </c>
      <c r="M303" s="13" t="s">
        <v>7</v>
      </c>
      <c r="N303" s="7">
        <f>IF(OR(Table2[[#This Row],[Jam Masuk]]="-",Table2[[#This Row],[Jam Pulang]]="-"),0,Table2[[#This Row],[Jam Pulang]]-Table2[[#This Row],[Jam Masuk]])</f>
        <v>0</v>
      </c>
    </row>
    <row r="304" spans="8:14" x14ac:dyDescent="0.25">
      <c r="H304" s="16" t="s">
        <v>45</v>
      </c>
      <c r="I304" s="13" t="s">
        <v>36</v>
      </c>
      <c r="J304" s="18" t="s">
        <v>37</v>
      </c>
      <c r="K304" s="13">
        <v>0.37291666666666667</v>
      </c>
      <c r="L304" s="13">
        <v>0.72986111111111107</v>
      </c>
      <c r="M304" s="13" t="s">
        <v>5</v>
      </c>
      <c r="N304" s="7">
        <f>IF(OR(Table2[[#This Row],[Jam Masuk]]="-",Table2[[#This Row],[Jam Pulang]]="-"),0,Table2[[#This Row],[Jam Pulang]]-Table2[[#This Row],[Jam Masuk]])</f>
        <v>0.3569444444444444</v>
      </c>
    </row>
    <row r="305" spans="8:14" x14ac:dyDescent="0.25">
      <c r="H305" s="16" t="s">
        <v>45</v>
      </c>
      <c r="I305" s="13" t="s">
        <v>38</v>
      </c>
      <c r="J305" s="18" t="s">
        <v>39</v>
      </c>
      <c r="K305" s="13">
        <v>0.35208333333333336</v>
      </c>
      <c r="L305" s="13">
        <v>0.70972222222222225</v>
      </c>
      <c r="M305" s="13" t="s">
        <v>5</v>
      </c>
      <c r="N305" s="7">
        <f>IF(OR(Table2[[#This Row],[Jam Masuk]]="-",Table2[[#This Row],[Jam Pulang]]="-"),0,Table2[[#This Row],[Jam Pulang]]-Table2[[#This Row],[Jam Masuk]])</f>
        <v>0.3576388888888889</v>
      </c>
    </row>
    <row r="306" spans="8:14" x14ac:dyDescent="0.25">
      <c r="H306" s="16" t="s">
        <v>45</v>
      </c>
      <c r="I306" s="13" t="s">
        <v>40</v>
      </c>
      <c r="J306" s="18" t="s">
        <v>41</v>
      </c>
      <c r="K306" s="13">
        <v>0.36944444444444446</v>
      </c>
      <c r="L306" s="13">
        <v>0.70902777777777781</v>
      </c>
      <c r="M306" s="13" t="s">
        <v>5</v>
      </c>
      <c r="N306" s="7">
        <f>IF(OR(Table2[[#This Row],[Jam Masuk]]="-",Table2[[#This Row],[Jam Pulang]]="-"),0,Table2[[#This Row],[Jam Pulang]]-Table2[[#This Row],[Jam Masuk]])</f>
        <v>0.33958333333333335</v>
      </c>
    </row>
    <row r="307" spans="8:14" x14ac:dyDescent="0.25">
      <c r="H307" s="16" t="s">
        <v>43</v>
      </c>
      <c r="I307" s="13" t="s">
        <v>25</v>
      </c>
      <c r="J307" s="18" t="s">
        <v>4</v>
      </c>
      <c r="K307" s="13" t="s">
        <v>8</v>
      </c>
      <c r="L307" s="13" t="s">
        <v>8</v>
      </c>
      <c r="M307" s="13" t="s">
        <v>42</v>
      </c>
      <c r="N307" s="7">
        <f>IF(OR(Table2[[#This Row],[Jam Masuk]]="-",Table2[[#This Row],[Jam Pulang]]="-"),0,Table2[[#This Row],[Jam Pulang]]-Table2[[#This Row],[Jam Masuk]])</f>
        <v>0</v>
      </c>
    </row>
    <row r="308" spans="8:14" x14ac:dyDescent="0.25">
      <c r="H308" s="16" t="s">
        <v>43</v>
      </c>
      <c r="I308" s="13" t="s">
        <v>26</v>
      </c>
      <c r="J308" s="18" t="s">
        <v>6</v>
      </c>
      <c r="K308" s="13" t="s">
        <v>8</v>
      </c>
      <c r="L308" s="13" t="s">
        <v>8</v>
      </c>
      <c r="M308" s="13" t="s">
        <v>42</v>
      </c>
      <c r="N308" s="7">
        <f>IF(OR(Table2[[#This Row],[Jam Masuk]]="-",Table2[[#This Row],[Jam Pulang]]="-"),0,Table2[[#This Row],[Jam Pulang]]-Table2[[#This Row],[Jam Masuk]])</f>
        <v>0</v>
      </c>
    </row>
    <row r="309" spans="8:14" x14ac:dyDescent="0.25">
      <c r="H309" s="16" t="s">
        <v>43</v>
      </c>
      <c r="I309" s="13" t="s">
        <v>27</v>
      </c>
      <c r="J309" s="18" t="s">
        <v>28</v>
      </c>
      <c r="K309" s="13">
        <v>0.34444444444444444</v>
      </c>
      <c r="L309" s="13">
        <v>0.7416666666666667</v>
      </c>
      <c r="M309" s="13" t="s">
        <v>44</v>
      </c>
      <c r="N309" s="7">
        <f>IF(OR(Table2[[#This Row],[Jam Masuk]]="-",Table2[[#This Row],[Jam Pulang]]="-"),0,Table2[[#This Row],[Jam Pulang]]-Table2[[#This Row],[Jam Masuk]])</f>
        <v>0.39722222222222225</v>
      </c>
    </row>
    <row r="310" spans="8:14" x14ac:dyDescent="0.25">
      <c r="H310" s="16" t="s">
        <v>43</v>
      </c>
      <c r="I310" s="13" t="s">
        <v>29</v>
      </c>
      <c r="J310" s="18" t="s">
        <v>9</v>
      </c>
      <c r="K310" s="13">
        <v>0.33958333333333335</v>
      </c>
      <c r="L310" s="13">
        <v>0.74722222222222223</v>
      </c>
      <c r="M310" s="13" t="s">
        <v>44</v>
      </c>
      <c r="N310" s="7">
        <f>IF(OR(Table2[[#This Row],[Jam Masuk]]="-",Table2[[#This Row],[Jam Pulang]]="-"),0,Table2[[#This Row],[Jam Pulang]]-Table2[[#This Row],[Jam Masuk]])</f>
        <v>0.40763888888888888</v>
      </c>
    </row>
    <row r="311" spans="8:14" x14ac:dyDescent="0.25">
      <c r="H311" s="16" t="s">
        <v>43</v>
      </c>
      <c r="I311" s="13" t="s">
        <v>30</v>
      </c>
      <c r="J311" s="18" t="s">
        <v>31</v>
      </c>
      <c r="K311" s="13" t="s">
        <v>8</v>
      </c>
      <c r="L311" s="13" t="s">
        <v>8</v>
      </c>
      <c r="M311" s="13" t="s">
        <v>42</v>
      </c>
      <c r="N311" s="7">
        <f>IF(OR(Table2[[#This Row],[Jam Masuk]]="-",Table2[[#This Row],[Jam Pulang]]="-"),0,Table2[[#This Row],[Jam Pulang]]-Table2[[#This Row],[Jam Masuk]])</f>
        <v>0</v>
      </c>
    </row>
    <row r="312" spans="8:14" x14ac:dyDescent="0.25">
      <c r="H312" s="16" t="s">
        <v>43</v>
      </c>
      <c r="I312" s="13" t="s">
        <v>32</v>
      </c>
      <c r="J312" s="18" t="s">
        <v>33</v>
      </c>
      <c r="K312" s="13" t="s">
        <v>8</v>
      </c>
      <c r="L312" s="13" t="s">
        <v>8</v>
      </c>
      <c r="M312" s="13" t="s">
        <v>7</v>
      </c>
      <c r="N312" s="7">
        <f>IF(OR(Table2[[#This Row],[Jam Masuk]]="-",Table2[[#This Row],[Jam Pulang]]="-"),0,Table2[[#This Row],[Jam Pulang]]-Table2[[#This Row],[Jam Masuk]])</f>
        <v>0</v>
      </c>
    </row>
    <row r="313" spans="8:14" x14ac:dyDescent="0.25">
      <c r="H313" s="16" t="s">
        <v>43</v>
      </c>
      <c r="I313" s="13" t="s">
        <v>34</v>
      </c>
      <c r="J313" s="18" t="s">
        <v>35</v>
      </c>
      <c r="K313" s="13">
        <v>0.34444444444444444</v>
      </c>
      <c r="L313" s="13">
        <v>0.74305555555555558</v>
      </c>
      <c r="M313" s="13" t="s">
        <v>5</v>
      </c>
      <c r="N313" s="7">
        <f>IF(OR(Table2[[#This Row],[Jam Masuk]]="-",Table2[[#This Row],[Jam Pulang]]="-"),0,Table2[[#This Row],[Jam Pulang]]-Table2[[#This Row],[Jam Masuk]])</f>
        <v>0.39861111111111114</v>
      </c>
    </row>
    <row r="314" spans="8:14" x14ac:dyDescent="0.25">
      <c r="H314" s="16" t="s">
        <v>43</v>
      </c>
      <c r="I314" s="13" t="s">
        <v>36</v>
      </c>
      <c r="J314" s="18" t="s">
        <v>37</v>
      </c>
      <c r="K314" s="13" t="s">
        <v>8</v>
      </c>
      <c r="L314" s="13" t="s">
        <v>8</v>
      </c>
      <c r="M314" s="13" t="s">
        <v>10</v>
      </c>
      <c r="N314" s="7">
        <f>IF(OR(Table2[[#This Row],[Jam Masuk]]="-",Table2[[#This Row],[Jam Pulang]]="-"),0,Table2[[#This Row],[Jam Pulang]]-Table2[[#This Row],[Jam Masuk]])</f>
        <v>0</v>
      </c>
    </row>
    <row r="315" spans="8:14" x14ac:dyDescent="0.25">
      <c r="H315" s="16" t="s">
        <v>43</v>
      </c>
      <c r="I315" s="13" t="s">
        <v>38</v>
      </c>
      <c r="J315" s="18" t="s">
        <v>39</v>
      </c>
      <c r="K315" s="13">
        <v>0.35486111111111113</v>
      </c>
      <c r="L315" s="13">
        <v>0.74791666666666667</v>
      </c>
      <c r="M315" s="13" t="s">
        <v>44</v>
      </c>
      <c r="N315" s="7">
        <f>IF(OR(Table2[[#This Row],[Jam Masuk]]="-",Table2[[#This Row],[Jam Pulang]]="-"),0,Table2[[#This Row],[Jam Pulang]]-Table2[[#This Row],[Jam Masuk]])</f>
        <v>0.39305555555555555</v>
      </c>
    </row>
    <row r="316" spans="8:14" x14ac:dyDescent="0.25">
      <c r="H316" s="17" t="s">
        <v>43</v>
      </c>
      <c r="I316" s="14" t="s">
        <v>40</v>
      </c>
      <c r="J316" s="19" t="s">
        <v>41</v>
      </c>
      <c r="K316" s="14" t="s">
        <v>8</v>
      </c>
      <c r="L316" s="14" t="s">
        <v>8</v>
      </c>
      <c r="M316" s="14" t="s">
        <v>42</v>
      </c>
      <c r="N316" s="8">
        <f>IF(OR(Table2[[#This Row],[Jam Masuk]]="-",Table2[[#This Row],[Jam Pulang]]="-"),0,Table2[[#This Row],[Jam Pulang]]-Table2[[#This Row],[Jam Masuk]])</f>
        <v>0</v>
      </c>
    </row>
  </sheetData>
  <mergeCells count="2">
    <mergeCell ref="H2:N2"/>
    <mergeCell ref="H3:N3"/>
  </mergeCells>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CCA4-FEBF-4BE1-806A-240927F56155}">
  <dimension ref="A2:P14"/>
  <sheetViews>
    <sheetView zoomScale="85" zoomScaleNormal="85" workbookViewId="0">
      <selection activeCell="K5" sqref="K5:K14"/>
    </sheetView>
  </sheetViews>
  <sheetFormatPr defaultRowHeight="15" x14ac:dyDescent="0.25"/>
  <cols>
    <col min="1" max="1" width="14.5703125" bestFit="1" customWidth="1"/>
    <col min="2" max="2" width="16.28515625" bestFit="1" customWidth="1"/>
    <col min="3" max="4" width="11.28515625" bestFit="1" customWidth="1"/>
    <col min="5" max="5" width="5.28515625" bestFit="1" customWidth="1"/>
    <col min="6" max="6" width="11.28515625" bestFit="1" customWidth="1"/>
    <col min="7" max="7" width="7.85546875" customWidth="1"/>
    <col min="8" max="8" width="4.7109375" hidden="1" customWidth="1"/>
    <col min="9" max="9" width="4.85546875" hidden="1" customWidth="1"/>
    <col min="10" max="10" width="8.85546875" bestFit="1" customWidth="1"/>
    <col min="11" max="11" width="21.140625" bestFit="1" customWidth="1"/>
    <col min="12" max="12" width="8.140625" bestFit="1" customWidth="1"/>
    <col min="13" max="13" width="14.5703125" bestFit="1" customWidth="1"/>
    <col min="14" max="14" width="16.28515625" bestFit="1" customWidth="1"/>
    <col min="15" max="16" width="11.28515625" bestFit="1" customWidth="1"/>
    <col min="17" max="17" width="5.28515625" bestFit="1" customWidth="1"/>
    <col min="18" max="18" width="13.28515625" bestFit="1" customWidth="1"/>
    <col min="19" max="19" width="19" bestFit="1" customWidth="1"/>
    <col min="20" max="20" width="10.5703125" bestFit="1" customWidth="1"/>
    <col min="21" max="21" width="17.5703125" bestFit="1" customWidth="1"/>
    <col min="22" max="22" width="16.28515625" bestFit="1" customWidth="1"/>
    <col min="23" max="77" width="8.140625" bestFit="1" customWidth="1"/>
    <col min="78" max="78" width="11.28515625" bestFit="1" customWidth="1"/>
    <col min="79" max="79" width="12.28515625" bestFit="1" customWidth="1"/>
    <col min="80" max="80" width="11.28515625" bestFit="1" customWidth="1"/>
    <col min="81" max="81" width="5.7109375" bestFit="1" customWidth="1"/>
    <col min="82" max="82" width="10.42578125" bestFit="1" customWidth="1"/>
    <col min="83" max="83" width="7.42578125" bestFit="1" customWidth="1"/>
    <col min="84" max="86" width="5.7109375" bestFit="1" customWidth="1"/>
    <col min="87" max="87" width="10.42578125" bestFit="1" customWidth="1"/>
    <col min="88" max="88" width="7.42578125" bestFit="1" customWidth="1"/>
    <col min="89" max="89" width="10.42578125" bestFit="1" customWidth="1"/>
    <col min="90" max="90" width="7.42578125" bestFit="1" customWidth="1"/>
    <col min="91" max="91" width="10.42578125" bestFit="1" customWidth="1"/>
    <col min="92" max="92" width="7.42578125" bestFit="1" customWidth="1"/>
    <col min="93" max="93" width="5.7109375" bestFit="1" customWidth="1"/>
    <col min="94" max="94" width="10.42578125" bestFit="1" customWidth="1"/>
    <col min="95" max="95" width="7.42578125" bestFit="1" customWidth="1"/>
    <col min="96" max="96" width="10.42578125" bestFit="1" customWidth="1"/>
    <col min="97" max="97" width="7.42578125" bestFit="1" customWidth="1"/>
    <col min="98" max="98" width="10.42578125" bestFit="1" customWidth="1"/>
    <col min="99" max="99" width="7.42578125" bestFit="1" customWidth="1"/>
    <col min="100" max="100" width="10.42578125" bestFit="1" customWidth="1"/>
    <col min="101" max="101" width="7.42578125" bestFit="1" customWidth="1"/>
    <col min="102" max="102" width="5.7109375" bestFit="1" customWidth="1"/>
    <col min="103" max="103" width="10.42578125" bestFit="1" customWidth="1"/>
    <col min="104" max="104" width="7.42578125" bestFit="1" customWidth="1"/>
    <col min="105" max="108" width="5.7109375" bestFit="1" customWidth="1"/>
    <col min="109" max="109" width="10.42578125" bestFit="1" customWidth="1"/>
    <col min="110" max="110" width="7.42578125" bestFit="1" customWidth="1"/>
    <col min="111" max="111" width="5.7109375" bestFit="1" customWidth="1"/>
    <col min="112" max="112" width="10.42578125" bestFit="1" customWidth="1"/>
    <col min="113" max="113" width="7.42578125" bestFit="1" customWidth="1"/>
    <col min="114" max="116" width="5.7109375" bestFit="1" customWidth="1"/>
    <col min="117" max="117" width="10.42578125" bestFit="1" customWidth="1"/>
    <col min="118" max="118" width="7.42578125" bestFit="1" customWidth="1"/>
    <col min="119" max="120" width="5.7109375" bestFit="1" customWidth="1"/>
    <col min="121" max="121" width="10.42578125" bestFit="1" customWidth="1"/>
    <col min="122" max="122" width="7.42578125" bestFit="1" customWidth="1"/>
    <col min="123" max="123" width="10.42578125" bestFit="1" customWidth="1"/>
    <col min="124" max="124" width="7.42578125" bestFit="1" customWidth="1"/>
    <col min="125" max="125" width="5.7109375" bestFit="1" customWidth="1"/>
    <col min="126" max="126" width="10.42578125" bestFit="1" customWidth="1"/>
    <col min="127" max="127" width="7.42578125" bestFit="1" customWidth="1"/>
    <col min="128" max="128" width="10.42578125" bestFit="1" customWidth="1"/>
    <col min="129" max="129" width="7.42578125" bestFit="1" customWidth="1"/>
    <col min="130" max="130" width="5.7109375" bestFit="1" customWidth="1"/>
    <col min="131" max="131" width="10.42578125" bestFit="1" customWidth="1"/>
    <col min="132" max="132" width="7.42578125" bestFit="1" customWidth="1"/>
    <col min="133" max="133" width="5.7109375" bestFit="1" customWidth="1"/>
    <col min="134" max="134" width="10.42578125" bestFit="1" customWidth="1"/>
    <col min="135" max="135" width="7.42578125" bestFit="1" customWidth="1"/>
    <col min="136" max="136" width="10.42578125" bestFit="1" customWidth="1"/>
    <col min="137" max="137" width="7.42578125" bestFit="1" customWidth="1"/>
    <col min="138" max="138" width="10.42578125" bestFit="1" customWidth="1"/>
    <col min="139" max="139" width="7.42578125" bestFit="1" customWidth="1"/>
    <col min="140" max="140" width="10.42578125" bestFit="1" customWidth="1"/>
    <col min="141" max="141" width="7.42578125" bestFit="1" customWidth="1"/>
    <col min="142" max="143" width="5.7109375" bestFit="1" customWidth="1"/>
    <col min="144" max="144" width="10.42578125" bestFit="1" customWidth="1"/>
    <col min="145" max="145" width="7.42578125" bestFit="1" customWidth="1"/>
    <col min="146" max="146" width="10.42578125" bestFit="1" customWidth="1"/>
    <col min="147" max="147" width="7.42578125" bestFit="1" customWidth="1"/>
    <col min="148" max="148" width="10.42578125" bestFit="1" customWidth="1"/>
    <col min="149" max="149" width="7.42578125" bestFit="1" customWidth="1"/>
    <col min="150" max="150" width="5.7109375" bestFit="1" customWidth="1"/>
    <col min="151" max="151" width="10.42578125" bestFit="1" customWidth="1"/>
    <col min="152" max="152" width="7.42578125" bestFit="1" customWidth="1"/>
    <col min="153" max="153" width="10.42578125" bestFit="1" customWidth="1"/>
    <col min="154" max="154" width="7.42578125" bestFit="1" customWidth="1"/>
    <col min="155" max="155" width="10.42578125" bestFit="1" customWidth="1"/>
    <col min="156" max="156" width="7.42578125" bestFit="1" customWidth="1"/>
    <col min="157" max="158" width="5.7109375" bestFit="1" customWidth="1"/>
    <col min="159" max="159" width="10.42578125" bestFit="1" customWidth="1"/>
    <col min="160" max="160" width="7.42578125" bestFit="1" customWidth="1"/>
    <col min="161" max="161" width="10.42578125" bestFit="1" customWidth="1"/>
    <col min="162" max="162" width="7.42578125" bestFit="1" customWidth="1"/>
    <col min="163" max="164" width="5.7109375" bestFit="1" customWidth="1"/>
    <col min="165" max="165" width="10.42578125" bestFit="1" customWidth="1"/>
    <col min="166" max="166" width="7.42578125" bestFit="1" customWidth="1"/>
    <col min="167" max="167" width="10.42578125" bestFit="1" customWidth="1"/>
    <col min="168" max="168" width="7.42578125" bestFit="1" customWidth="1"/>
    <col min="169" max="169" width="10.42578125" bestFit="1" customWidth="1"/>
    <col min="170" max="170" width="7.42578125" bestFit="1" customWidth="1"/>
    <col min="171" max="171" width="10.42578125" bestFit="1" customWidth="1"/>
    <col min="172" max="172" width="7.42578125" bestFit="1" customWidth="1"/>
    <col min="173" max="173" width="5.7109375" bestFit="1" customWidth="1"/>
    <col min="174" max="174" width="10.42578125" bestFit="1" customWidth="1"/>
    <col min="175" max="175" width="7.42578125" bestFit="1" customWidth="1"/>
    <col min="176" max="176" width="10.42578125" bestFit="1" customWidth="1"/>
    <col min="177" max="177" width="7.42578125" bestFit="1" customWidth="1"/>
    <col min="178" max="179" width="5.7109375" bestFit="1" customWidth="1"/>
    <col min="180" max="180" width="10.42578125" bestFit="1" customWidth="1"/>
    <col min="181" max="181" width="7.42578125" bestFit="1" customWidth="1"/>
    <col min="182" max="182" width="5.7109375" bestFit="1" customWidth="1"/>
    <col min="183" max="183" width="10.42578125" bestFit="1" customWidth="1"/>
    <col min="184" max="184" width="7.42578125" bestFit="1" customWidth="1"/>
    <col min="185" max="185" width="5.7109375" bestFit="1" customWidth="1"/>
    <col min="186" max="186" width="10.42578125" bestFit="1" customWidth="1"/>
    <col min="187" max="187" width="11.28515625" bestFit="1" customWidth="1"/>
    <col min="188" max="190" width="5.42578125" bestFit="1" customWidth="1"/>
    <col min="191" max="191" width="10.140625" bestFit="1" customWidth="1"/>
    <col min="192" max="192" width="10.7109375" bestFit="1" customWidth="1"/>
  </cols>
  <sheetData>
    <row r="2" spans="1:16" ht="18.75" x14ac:dyDescent="0.25">
      <c r="A2" s="22" t="s">
        <v>16</v>
      </c>
      <c r="B2" s="22"/>
      <c r="C2" s="22"/>
      <c r="D2" s="22"/>
      <c r="E2" s="25"/>
      <c r="F2" s="25"/>
      <c r="J2" s="22" t="s">
        <v>17</v>
      </c>
      <c r="K2" s="22"/>
      <c r="M2" s="23" t="s">
        <v>75</v>
      </c>
      <c r="N2" s="23"/>
      <c r="O2" s="23"/>
      <c r="P2" s="23"/>
    </row>
    <row r="4" spans="1:16" x14ac:dyDescent="0.25">
      <c r="A4" s="1" t="s">
        <v>15</v>
      </c>
      <c r="B4" s="1" t="s">
        <v>13</v>
      </c>
      <c r="J4" s="1" t="s">
        <v>24</v>
      </c>
      <c r="K4" s="12" t="s">
        <v>14</v>
      </c>
      <c r="M4" s="1" t="s">
        <v>15</v>
      </c>
      <c r="N4" s="1" t="s">
        <v>13</v>
      </c>
    </row>
    <row r="5" spans="1:16" x14ac:dyDescent="0.25">
      <c r="A5" s="20" t="s">
        <v>24</v>
      </c>
      <c r="B5" s="12" t="s">
        <v>44</v>
      </c>
      <c r="C5" t="s">
        <v>12</v>
      </c>
      <c r="J5" s="10" t="s">
        <v>4</v>
      </c>
      <c r="K5" s="11">
        <v>3.7895833333333333</v>
      </c>
      <c r="M5" s="1" t="s">
        <v>24</v>
      </c>
      <c r="N5" t="s">
        <v>44</v>
      </c>
      <c r="O5" t="s">
        <v>12</v>
      </c>
    </row>
    <row r="6" spans="1:16" x14ac:dyDescent="0.25">
      <c r="A6" s="12" t="s">
        <v>28</v>
      </c>
      <c r="B6" s="26">
        <v>1</v>
      </c>
      <c r="C6" s="26">
        <v>1</v>
      </c>
      <c r="J6" s="10" t="s">
        <v>6</v>
      </c>
      <c r="K6" s="11">
        <v>5.1944444444444446</v>
      </c>
      <c r="M6" s="12" t="s">
        <v>72</v>
      </c>
      <c r="N6" s="26">
        <v>1</v>
      </c>
      <c r="O6" s="26">
        <v>1</v>
      </c>
    </row>
    <row r="7" spans="1:16" x14ac:dyDescent="0.25">
      <c r="A7" s="12" t="s">
        <v>12</v>
      </c>
      <c r="B7" s="26">
        <v>1</v>
      </c>
      <c r="C7" s="26">
        <v>1</v>
      </c>
      <c r="J7" s="10" t="s">
        <v>28</v>
      </c>
      <c r="K7" s="11">
        <v>5.3395833333333336</v>
      </c>
      <c r="M7" s="12" t="s">
        <v>12</v>
      </c>
      <c r="N7" s="26">
        <v>1</v>
      </c>
      <c r="O7" s="26">
        <v>1</v>
      </c>
    </row>
    <row r="8" spans="1:16" x14ac:dyDescent="0.25">
      <c r="J8" s="10" t="s">
        <v>9</v>
      </c>
      <c r="K8" s="11">
        <v>5.584722222222223</v>
      </c>
    </row>
    <row r="9" spans="1:16" x14ac:dyDescent="0.25">
      <c r="J9" s="10" t="s">
        <v>31</v>
      </c>
      <c r="K9" s="11">
        <v>3.7881944444444446</v>
      </c>
    </row>
    <row r="10" spans="1:16" x14ac:dyDescent="0.25">
      <c r="J10" s="10" t="s">
        <v>33</v>
      </c>
      <c r="K10" s="11">
        <v>3.3972222222222221</v>
      </c>
    </row>
    <row r="11" spans="1:16" x14ac:dyDescent="0.25">
      <c r="J11" s="10" t="s">
        <v>35</v>
      </c>
      <c r="K11" s="11">
        <v>3.8013888888888889</v>
      </c>
    </row>
    <row r="12" spans="1:16" x14ac:dyDescent="0.25">
      <c r="J12" s="10" t="s">
        <v>37</v>
      </c>
      <c r="K12" s="11">
        <v>4.9270833333333321</v>
      </c>
    </row>
    <row r="13" spans="1:16" x14ac:dyDescent="0.25">
      <c r="J13" s="10" t="s">
        <v>39</v>
      </c>
      <c r="K13" s="11">
        <v>4.5951388888888891</v>
      </c>
    </row>
    <row r="14" spans="1:16" x14ac:dyDescent="0.25">
      <c r="J14" s="10" t="s">
        <v>41</v>
      </c>
      <c r="K14" s="11">
        <v>4.1319444444444455</v>
      </c>
    </row>
  </sheetData>
  <mergeCells count="3">
    <mergeCell ref="J2:K2"/>
    <mergeCell ref="M2:P2"/>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99D9-28BA-438A-ADBC-1E4E2481683A}">
  <dimension ref="G2:L4"/>
  <sheetViews>
    <sheetView showGridLines="0" topLeftCell="A4" zoomScale="70" zoomScaleNormal="70" workbookViewId="0">
      <selection activeCell="T10" sqref="T10"/>
    </sheetView>
  </sheetViews>
  <sheetFormatPr defaultRowHeight="15" x14ac:dyDescent="0.25"/>
  <cols>
    <col min="1" max="1" width="11.5703125" customWidth="1"/>
    <col min="2" max="2" width="15.140625" customWidth="1"/>
    <col min="3" max="3" width="8.5703125" customWidth="1"/>
    <col min="4" max="4" width="10.28515625" customWidth="1"/>
    <col min="5" max="5" width="12.140625" customWidth="1"/>
  </cols>
  <sheetData>
    <row r="2" spans="7:12" ht="18.75" customHeight="1" x14ac:dyDescent="0.25">
      <c r="G2" s="24" t="s">
        <v>18</v>
      </c>
      <c r="H2" s="24"/>
      <c r="I2" s="24"/>
      <c r="J2" s="24"/>
      <c r="K2" s="24"/>
      <c r="L2" s="24"/>
    </row>
    <row r="3" spans="7:12" ht="18.75" customHeight="1" x14ac:dyDescent="0.25">
      <c r="G3" s="24"/>
      <c r="H3" s="24"/>
      <c r="I3" s="24"/>
      <c r="J3" s="24"/>
      <c r="K3" s="24"/>
      <c r="L3" s="24"/>
    </row>
    <row r="4" spans="7:12" ht="18.75" customHeight="1" x14ac:dyDescent="0.25">
      <c r="G4" s="24"/>
      <c r="H4" s="24"/>
      <c r="I4" s="24"/>
      <c r="J4" s="24"/>
      <c r="K4" s="24"/>
      <c r="L4" s="24"/>
    </row>
  </sheetData>
  <mergeCells count="1">
    <mergeCell ref="G2:L4"/>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Data-Absensi</vt:lpstr>
      <vt:lpstr>Rekap_Pivot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Jujun Junaedi</dc:creator>
  <cp:lastModifiedBy>Jujun Junaedi</cp:lastModifiedBy>
  <dcterms:created xsi:type="dcterms:W3CDTF">2025-11-23T13:40:06Z</dcterms:created>
  <dcterms:modified xsi:type="dcterms:W3CDTF">2025-11-30T09:09:44Z</dcterms:modified>
</cp:coreProperties>
</file>